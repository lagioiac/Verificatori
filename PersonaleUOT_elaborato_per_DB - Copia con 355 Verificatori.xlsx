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Verificatori\"/>
    </mc:Choice>
  </mc:AlternateContent>
  <bookViews>
    <workbookView xWindow="0" yWindow="0" windowWidth="20250" windowHeight="7673"/>
  </bookViews>
  <sheets>
    <sheet name="Foglio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55" i="1" l="1"/>
  <c r="M355" i="1"/>
  <c r="L355" i="1"/>
  <c r="K355" i="1"/>
  <c r="J355" i="1"/>
  <c r="F355" i="1"/>
  <c r="E355" i="1"/>
  <c r="P354" i="1"/>
  <c r="M354" i="1"/>
  <c r="L354" i="1"/>
  <c r="K354" i="1"/>
  <c r="J354" i="1"/>
  <c r="R354" i="1" s="1"/>
  <c r="F354" i="1"/>
  <c r="E354" i="1"/>
  <c r="P353" i="1"/>
  <c r="M353" i="1"/>
  <c r="L353" i="1"/>
  <c r="K353" i="1"/>
  <c r="J353" i="1"/>
  <c r="F353" i="1"/>
  <c r="E353" i="1"/>
  <c r="P352" i="1"/>
  <c r="M352" i="1"/>
  <c r="L352" i="1"/>
  <c r="K352" i="1"/>
  <c r="J352" i="1"/>
  <c r="F352" i="1"/>
  <c r="E352" i="1"/>
  <c r="P351" i="1"/>
  <c r="M351" i="1"/>
  <c r="L351" i="1"/>
  <c r="K351" i="1"/>
  <c r="J351" i="1"/>
  <c r="F351" i="1"/>
  <c r="E351" i="1"/>
  <c r="P350" i="1"/>
  <c r="M350" i="1"/>
  <c r="L350" i="1"/>
  <c r="K350" i="1"/>
  <c r="J350" i="1"/>
  <c r="F350" i="1"/>
  <c r="E350" i="1"/>
  <c r="P349" i="1"/>
  <c r="M349" i="1"/>
  <c r="L349" i="1"/>
  <c r="K349" i="1"/>
  <c r="J349" i="1"/>
  <c r="F349" i="1"/>
  <c r="E349" i="1"/>
  <c r="P348" i="1"/>
  <c r="M348" i="1"/>
  <c r="L348" i="1"/>
  <c r="K348" i="1"/>
  <c r="J348" i="1"/>
  <c r="F348" i="1"/>
  <c r="E348" i="1"/>
  <c r="P347" i="1"/>
  <c r="M347" i="1"/>
  <c r="L347" i="1"/>
  <c r="K347" i="1"/>
  <c r="J347" i="1"/>
  <c r="F347" i="1"/>
  <c r="E347" i="1"/>
  <c r="P346" i="1"/>
  <c r="M346" i="1"/>
  <c r="L346" i="1"/>
  <c r="K346" i="1"/>
  <c r="J346" i="1"/>
  <c r="F346" i="1"/>
  <c r="E346" i="1"/>
  <c r="P345" i="1"/>
  <c r="M345" i="1"/>
  <c r="L345" i="1"/>
  <c r="K345" i="1"/>
  <c r="J345" i="1"/>
  <c r="F345" i="1"/>
  <c r="E345" i="1"/>
  <c r="P344" i="1"/>
  <c r="M344" i="1"/>
  <c r="L344" i="1"/>
  <c r="K344" i="1"/>
  <c r="J344" i="1"/>
  <c r="F344" i="1"/>
  <c r="E344" i="1"/>
  <c r="P343" i="1"/>
  <c r="M343" i="1"/>
  <c r="L343" i="1"/>
  <c r="K343" i="1"/>
  <c r="J343" i="1"/>
  <c r="F343" i="1"/>
  <c r="E343" i="1"/>
  <c r="P342" i="1"/>
  <c r="M342" i="1"/>
  <c r="L342" i="1"/>
  <c r="K342" i="1"/>
  <c r="J342" i="1"/>
  <c r="F342" i="1"/>
  <c r="E342" i="1"/>
  <c r="P341" i="1"/>
  <c r="M341" i="1"/>
  <c r="L341" i="1"/>
  <c r="K341" i="1"/>
  <c r="J341" i="1"/>
  <c r="F341" i="1"/>
  <c r="E341" i="1"/>
  <c r="P340" i="1"/>
  <c r="M340" i="1"/>
  <c r="L340" i="1"/>
  <c r="K340" i="1"/>
  <c r="J340" i="1"/>
  <c r="F340" i="1"/>
  <c r="E340" i="1"/>
  <c r="P339" i="1"/>
  <c r="M339" i="1"/>
  <c r="L339" i="1"/>
  <c r="K339" i="1"/>
  <c r="J339" i="1"/>
  <c r="F339" i="1"/>
  <c r="E339" i="1"/>
  <c r="P338" i="1"/>
  <c r="M338" i="1"/>
  <c r="L338" i="1"/>
  <c r="K338" i="1"/>
  <c r="J338" i="1"/>
  <c r="F338" i="1"/>
  <c r="E338" i="1"/>
  <c r="P337" i="1"/>
  <c r="M337" i="1"/>
  <c r="L337" i="1"/>
  <c r="K337" i="1"/>
  <c r="J337" i="1"/>
  <c r="F337" i="1"/>
  <c r="E337" i="1"/>
  <c r="P336" i="1"/>
  <c r="M336" i="1"/>
  <c r="L336" i="1"/>
  <c r="K336" i="1"/>
  <c r="J336" i="1"/>
  <c r="F336" i="1"/>
  <c r="E336" i="1"/>
  <c r="P335" i="1"/>
  <c r="M335" i="1"/>
  <c r="L335" i="1"/>
  <c r="K335" i="1"/>
  <c r="J335" i="1"/>
  <c r="F335" i="1"/>
  <c r="E335" i="1"/>
  <c r="P334" i="1"/>
  <c r="M334" i="1"/>
  <c r="L334" i="1"/>
  <c r="K334" i="1"/>
  <c r="J334" i="1"/>
  <c r="F334" i="1"/>
  <c r="E334" i="1"/>
  <c r="P333" i="1"/>
  <c r="M333" i="1"/>
  <c r="L333" i="1"/>
  <c r="K333" i="1"/>
  <c r="J333" i="1"/>
  <c r="F333" i="1"/>
  <c r="E333" i="1"/>
  <c r="P332" i="1"/>
  <c r="M332" i="1"/>
  <c r="L332" i="1"/>
  <c r="K332" i="1"/>
  <c r="J332" i="1"/>
  <c r="F332" i="1"/>
  <c r="E332" i="1"/>
  <c r="P331" i="1"/>
  <c r="M331" i="1"/>
  <c r="L331" i="1"/>
  <c r="K331" i="1"/>
  <c r="J331" i="1"/>
  <c r="F331" i="1"/>
  <c r="E331" i="1"/>
  <c r="P330" i="1"/>
  <c r="M330" i="1"/>
  <c r="L330" i="1"/>
  <c r="K330" i="1"/>
  <c r="J330" i="1"/>
  <c r="F330" i="1"/>
  <c r="E330" i="1"/>
  <c r="P329" i="1"/>
  <c r="M329" i="1"/>
  <c r="L329" i="1"/>
  <c r="K329" i="1"/>
  <c r="J329" i="1"/>
  <c r="F329" i="1"/>
  <c r="E329" i="1"/>
  <c r="P328" i="1"/>
  <c r="M328" i="1"/>
  <c r="L328" i="1"/>
  <c r="K328" i="1"/>
  <c r="J328" i="1"/>
  <c r="F328" i="1"/>
  <c r="E328" i="1"/>
  <c r="P327" i="1"/>
  <c r="M327" i="1"/>
  <c r="L327" i="1"/>
  <c r="K327" i="1"/>
  <c r="J327" i="1"/>
  <c r="F327" i="1"/>
  <c r="E327" i="1"/>
  <c r="P326" i="1"/>
  <c r="M326" i="1"/>
  <c r="L326" i="1"/>
  <c r="K326" i="1"/>
  <c r="J326" i="1"/>
  <c r="F326" i="1"/>
  <c r="E326" i="1"/>
  <c r="P325" i="1"/>
  <c r="M325" i="1"/>
  <c r="L325" i="1"/>
  <c r="K325" i="1"/>
  <c r="J325" i="1"/>
  <c r="F325" i="1"/>
  <c r="E325" i="1"/>
  <c r="P324" i="1"/>
  <c r="M324" i="1"/>
  <c r="L324" i="1"/>
  <c r="K324" i="1"/>
  <c r="J324" i="1"/>
  <c r="F324" i="1"/>
  <c r="E324" i="1"/>
  <c r="P323" i="1"/>
  <c r="M323" i="1"/>
  <c r="L323" i="1"/>
  <c r="K323" i="1"/>
  <c r="J323" i="1"/>
  <c r="F323" i="1"/>
  <c r="E323" i="1"/>
  <c r="P322" i="1"/>
  <c r="M322" i="1"/>
  <c r="L322" i="1"/>
  <c r="K322" i="1"/>
  <c r="J322" i="1"/>
  <c r="F322" i="1"/>
  <c r="E322" i="1"/>
  <c r="P321" i="1"/>
  <c r="M321" i="1"/>
  <c r="L321" i="1"/>
  <c r="K321" i="1"/>
  <c r="J321" i="1"/>
  <c r="F321" i="1"/>
  <c r="E321" i="1"/>
  <c r="P320" i="1"/>
  <c r="M320" i="1"/>
  <c r="L320" i="1"/>
  <c r="K320" i="1"/>
  <c r="J320" i="1"/>
  <c r="F320" i="1"/>
  <c r="E320" i="1"/>
  <c r="P319" i="1"/>
  <c r="M319" i="1"/>
  <c r="L319" i="1"/>
  <c r="K319" i="1"/>
  <c r="J319" i="1"/>
  <c r="F319" i="1"/>
  <c r="E319" i="1"/>
  <c r="P318" i="1"/>
  <c r="M318" i="1"/>
  <c r="L318" i="1"/>
  <c r="K318" i="1"/>
  <c r="J318" i="1"/>
  <c r="F318" i="1"/>
  <c r="E318" i="1"/>
  <c r="P317" i="1"/>
  <c r="M317" i="1"/>
  <c r="L317" i="1"/>
  <c r="K317" i="1"/>
  <c r="J317" i="1"/>
  <c r="F317" i="1"/>
  <c r="E317" i="1"/>
  <c r="P316" i="1"/>
  <c r="M316" i="1"/>
  <c r="L316" i="1"/>
  <c r="K316" i="1"/>
  <c r="J316" i="1"/>
  <c r="F316" i="1"/>
  <c r="E316" i="1"/>
  <c r="P315" i="1"/>
  <c r="M315" i="1"/>
  <c r="L315" i="1"/>
  <c r="K315" i="1"/>
  <c r="J315" i="1"/>
  <c r="F315" i="1"/>
  <c r="E315" i="1"/>
  <c r="P314" i="1"/>
  <c r="M314" i="1"/>
  <c r="L314" i="1"/>
  <c r="K314" i="1"/>
  <c r="J314" i="1"/>
  <c r="F314" i="1"/>
  <c r="E314" i="1"/>
  <c r="P313" i="1"/>
  <c r="M313" i="1"/>
  <c r="L313" i="1"/>
  <c r="K313" i="1"/>
  <c r="J313" i="1"/>
  <c r="F313" i="1"/>
  <c r="E313" i="1"/>
  <c r="P312" i="1"/>
  <c r="M312" i="1"/>
  <c r="L312" i="1"/>
  <c r="K312" i="1"/>
  <c r="J312" i="1"/>
  <c r="F312" i="1"/>
  <c r="E312" i="1"/>
  <c r="P311" i="1"/>
  <c r="M311" i="1"/>
  <c r="L311" i="1"/>
  <c r="K311" i="1"/>
  <c r="J311" i="1"/>
  <c r="F311" i="1"/>
  <c r="E311" i="1"/>
  <c r="P310" i="1"/>
  <c r="M310" i="1"/>
  <c r="L310" i="1"/>
  <c r="K310" i="1"/>
  <c r="J310" i="1"/>
  <c r="F310" i="1"/>
  <c r="E310" i="1"/>
  <c r="P309" i="1"/>
  <c r="M309" i="1"/>
  <c r="L309" i="1"/>
  <c r="K309" i="1"/>
  <c r="J309" i="1"/>
  <c r="F309" i="1"/>
  <c r="E309" i="1"/>
  <c r="P308" i="1"/>
  <c r="M308" i="1"/>
  <c r="L308" i="1"/>
  <c r="K308" i="1"/>
  <c r="J308" i="1"/>
  <c r="F308" i="1"/>
  <c r="E308" i="1"/>
  <c r="P307" i="1"/>
  <c r="M307" i="1"/>
  <c r="L307" i="1"/>
  <c r="K307" i="1"/>
  <c r="J307" i="1"/>
  <c r="F307" i="1"/>
  <c r="E307" i="1"/>
  <c r="P306" i="1"/>
  <c r="M306" i="1"/>
  <c r="L306" i="1"/>
  <c r="K306" i="1"/>
  <c r="J306" i="1"/>
  <c r="F306" i="1"/>
  <c r="E306" i="1"/>
  <c r="P305" i="1"/>
  <c r="M305" i="1"/>
  <c r="L305" i="1"/>
  <c r="K305" i="1"/>
  <c r="J305" i="1"/>
  <c r="F305" i="1"/>
  <c r="E305" i="1"/>
  <c r="P304" i="1"/>
  <c r="M304" i="1"/>
  <c r="L304" i="1"/>
  <c r="K304" i="1"/>
  <c r="J304" i="1"/>
  <c r="F304" i="1"/>
  <c r="E304" i="1"/>
  <c r="P303" i="1"/>
  <c r="M303" i="1"/>
  <c r="L303" i="1"/>
  <c r="K303" i="1"/>
  <c r="J303" i="1"/>
  <c r="F303" i="1"/>
  <c r="E303" i="1"/>
  <c r="P302" i="1"/>
  <c r="M302" i="1"/>
  <c r="L302" i="1"/>
  <c r="K302" i="1"/>
  <c r="J302" i="1"/>
  <c r="F302" i="1"/>
  <c r="E302" i="1"/>
  <c r="P301" i="1"/>
  <c r="M301" i="1"/>
  <c r="L301" i="1"/>
  <c r="K301" i="1"/>
  <c r="J301" i="1"/>
  <c r="F301" i="1"/>
  <c r="E301" i="1"/>
  <c r="P300" i="1"/>
  <c r="M300" i="1"/>
  <c r="L300" i="1"/>
  <c r="K300" i="1"/>
  <c r="J300" i="1"/>
  <c r="F300" i="1"/>
  <c r="E300" i="1"/>
  <c r="P299" i="1"/>
  <c r="M299" i="1"/>
  <c r="L299" i="1"/>
  <c r="K299" i="1"/>
  <c r="J299" i="1"/>
  <c r="F299" i="1"/>
  <c r="E299" i="1"/>
  <c r="P298" i="1"/>
  <c r="M298" i="1"/>
  <c r="L298" i="1"/>
  <c r="K298" i="1"/>
  <c r="J298" i="1"/>
  <c r="F298" i="1"/>
  <c r="E298" i="1"/>
  <c r="P297" i="1"/>
  <c r="M297" i="1"/>
  <c r="L297" i="1"/>
  <c r="K297" i="1"/>
  <c r="J297" i="1"/>
  <c r="F297" i="1"/>
  <c r="E297" i="1"/>
  <c r="P296" i="1"/>
  <c r="M296" i="1"/>
  <c r="L296" i="1"/>
  <c r="K296" i="1"/>
  <c r="J296" i="1"/>
  <c r="F296" i="1"/>
  <c r="E296" i="1"/>
  <c r="P295" i="1"/>
  <c r="M295" i="1"/>
  <c r="L295" i="1"/>
  <c r="K295" i="1"/>
  <c r="J295" i="1"/>
  <c r="F295" i="1"/>
  <c r="E295" i="1"/>
  <c r="P294" i="1"/>
  <c r="M294" i="1"/>
  <c r="L294" i="1"/>
  <c r="K294" i="1"/>
  <c r="J294" i="1"/>
  <c r="F294" i="1"/>
  <c r="E294" i="1"/>
  <c r="P293" i="1"/>
  <c r="M293" i="1"/>
  <c r="L293" i="1"/>
  <c r="K293" i="1"/>
  <c r="J293" i="1"/>
  <c r="F293" i="1"/>
  <c r="E293" i="1"/>
  <c r="P292" i="1"/>
  <c r="M292" i="1"/>
  <c r="L292" i="1"/>
  <c r="K292" i="1"/>
  <c r="J292" i="1"/>
  <c r="F292" i="1"/>
  <c r="E292" i="1"/>
  <c r="P291" i="1"/>
  <c r="M291" i="1"/>
  <c r="L291" i="1"/>
  <c r="K291" i="1"/>
  <c r="J291" i="1"/>
  <c r="F291" i="1"/>
  <c r="E291" i="1"/>
  <c r="P290" i="1"/>
  <c r="M290" i="1"/>
  <c r="L290" i="1"/>
  <c r="K290" i="1"/>
  <c r="J290" i="1"/>
  <c r="F290" i="1"/>
  <c r="E290" i="1"/>
  <c r="P289" i="1"/>
  <c r="M289" i="1"/>
  <c r="L289" i="1"/>
  <c r="K289" i="1"/>
  <c r="J289" i="1"/>
  <c r="F289" i="1"/>
  <c r="E289" i="1"/>
  <c r="P288" i="1"/>
  <c r="M288" i="1"/>
  <c r="L288" i="1"/>
  <c r="K288" i="1"/>
  <c r="J288" i="1"/>
  <c r="F288" i="1"/>
  <c r="E288" i="1"/>
  <c r="P287" i="1"/>
  <c r="M287" i="1"/>
  <c r="L287" i="1"/>
  <c r="K287" i="1"/>
  <c r="J287" i="1"/>
  <c r="F287" i="1"/>
  <c r="E287" i="1"/>
  <c r="P286" i="1"/>
  <c r="M286" i="1"/>
  <c r="L286" i="1"/>
  <c r="K286" i="1"/>
  <c r="J286" i="1"/>
  <c r="F286" i="1"/>
  <c r="E286" i="1"/>
  <c r="P285" i="1"/>
  <c r="M285" i="1"/>
  <c r="L285" i="1"/>
  <c r="K285" i="1"/>
  <c r="J285" i="1"/>
  <c r="F285" i="1"/>
  <c r="E285" i="1"/>
  <c r="P284" i="1"/>
  <c r="M284" i="1"/>
  <c r="L284" i="1"/>
  <c r="K284" i="1"/>
  <c r="J284" i="1"/>
  <c r="F284" i="1"/>
  <c r="E284" i="1"/>
  <c r="P283" i="1"/>
  <c r="M283" i="1"/>
  <c r="L283" i="1"/>
  <c r="K283" i="1"/>
  <c r="J283" i="1"/>
  <c r="F283" i="1"/>
  <c r="E283" i="1"/>
  <c r="P282" i="1"/>
  <c r="M282" i="1"/>
  <c r="L282" i="1"/>
  <c r="K282" i="1"/>
  <c r="J282" i="1"/>
  <c r="F282" i="1"/>
  <c r="E282" i="1"/>
  <c r="P281" i="1"/>
  <c r="M281" i="1"/>
  <c r="L281" i="1"/>
  <c r="K281" i="1"/>
  <c r="J281" i="1"/>
  <c r="F281" i="1"/>
  <c r="E281" i="1"/>
  <c r="P280" i="1"/>
  <c r="M280" i="1"/>
  <c r="L280" i="1"/>
  <c r="K280" i="1"/>
  <c r="J280" i="1"/>
  <c r="F280" i="1"/>
  <c r="E280" i="1"/>
  <c r="P279" i="1"/>
  <c r="M279" i="1"/>
  <c r="L279" i="1"/>
  <c r="K279" i="1"/>
  <c r="J279" i="1"/>
  <c r="F279" i="1"/>
  <c r="E279" i="1"/>
  <c r="P278" i="1"/>
  <c r="M278" i="1"/>
  <c r="L278" i="1"/>
  <c r="K278" i="1"/>
  <c r="J278" i="1"/>
  <c r="F278" i="1"/>
  <c r="E278" i="1"/>
  <c r="P277" i="1"/>
  <c r="M277" i="1"/>
  <c r="L277" i="1"/>
  <c r="K277" i="1"/>
  <c r="J277" i="1"/>
  <c r="F277" i="1"/>
  <c r="E277" i="1"/>
  <c r="P276" i="1"/>
  <c r="M276" i="1"/>
  <c r="L276" i="1"/>
  <c r="K276" i="1"/>
  <c r="J276" i="1"/>
  <c r="F276" i="1"/>
  <c r="E276" i="1"/>
  <c r="P275" i="1"/>
  <c r="M275" i="1"/>
  <c r="L275" i="1"/>
  <c r="K275" i="1"/>
  <c r="J275" i="1"/>
  <c r="F275" i="1"/>
  <c r="E275" i="1"/>
  <c r="P274" i="1"/>
  <c r="M274" i="1"/>
  <c r="L274" i="1"/>
  <c r="K274" i="1"/>
  <c r="J274" i="1"/>
  <c r="F274" i="1"/>
  <c r="E274" i="1"/>
  <c r="P273" i="1"/>
  <c r="M273" i="1"/>
  <c r="L273" i="1"/>
  <c r="K273" i="1"/>
  <c r="J273" i="1"/>
  <c r="F273" i="1"/>
  <c r="E273" i="1"/>
  <c r="P272" i="1"/>
  <c r="M272" i="1"/>
  <c r="L272" i="1"/>
  <c r="K272" i="1"/>
  <c r="J272" i="1"/>
  <c r="F272" i="1"/>
  <c r="E272" i="1"/>
  <c r="P271" i="1"/>
  <c r="M271" i="1"/>
  <c r="L271" i="1"/>
  <c r="K271" i="1"/>
  <c r="J271" i="1"/>
  <c r="F271" i="1"/>
  <c r="E271" i="1"/>
  <c r="P270" i="1"/>
  <c r="M270" i="1"/>
  <c r="L270" i="1"/>
  <c r="K270" i="1"/>
  <c r="J270" i="1"/>
  <c r="F270" i="1"/>
  <c r="E270" i="1"/>
  <c r="P269" i="1"/>
  <c r="M269" i="1"/>
  <c r="L269" i="1"/>
  <c r="K269" i="1"/>
  <c r="J269" i="1"/>
  <c r="F269" i="1"/>
  <c r="E269" i="1"/>
  <c r="P268" i="1"/>
  <c r="M268" i="1"/>
  <c r="L268" i="1"/>
  <c r="K268" i="1"/>
  <c r="J268" i="1"/>
  <c r="F268" i="1"/>
  <c r="E268" i="1"/>
  <c r="P267" i="1"/>
  <c r="M267" i="1"/>
  <c r="L267" i="1"/>
  <c r="K267" i="1"/>
  <c r="J267" i="1"/>
  <c r="F267" i="1"/>
  <c r="E267" i="1"/>
  <c r="P266" i="1"/>
  <c r="M266" i="1"/>
  <c r="L266" i="1"/>
  <c r="K266" i="1"/>
  <c r="J266" i="1"/>
  <c r="R266" i="1" s="1"/>
  <c r="F266" i="1"/>
  <c r="E266" i="1"/>
  <c r="P265" i="1"/>
  <c r="M265" i="1"/>
  <c r="L265" i="1"/>
  <c r="K265" i="1"/>
  <c r="J265" i="1"/>
  <c r="F265" i="1"/>
  <c r="E265" i="1"/>
  <c r="P264" i="1"/>
  <c r="M264" i="1"/>
  <c r="L264" i="1"/>
  <c r="K264" i="1"/>
  <c r="J264" i="1"/>
  <c r="F264" i="1"/>
  <c r="E264" i="1"/>
  <c r="P263" i="1"/>
  <c r="M263" i="1"/>
  <c r="L263" i="1"/>
  <c r="K263" i="1"/>
  <c r="R263" i="1" s="1"/>
  <c r="J263" i="1"/>
  <c r="F263" i="1"/>
  <c r="E263" i="1"/>
  <c r="P262" i="1"/>
  <c r="M262" i="1"/>
  <c r="L262" i="1"/>
  <c r="K262" i="1"/>
  <c r="J262" i="1"/>
  <c r="F262" i="1"/>
  <c r="E262" i="1"/>
  <c r="P261" i="1"/>
  <c r="M261" i="1"/>
  <c r="L261" i="1"/>
  <c r="K261" i="1"/>
  <c r="J261" i="1"/>
  <c r="F261" i="1"/>
  <c r="E261" i="1"/>
  <c r="P260" i="1"/>
  <c r="M260" i="1"/>
  <c r="L260" i="1"/>
  <c r="K260" i="1"/>
  <c r="J260" i="1"/>
  <c r="F260" i="1"/>
  <c r="E260" i="1"/>
  <c r="P259" i="1"/>
  <c r="M259" i="1"/>
  <c r="L259" i="1"/>
  <c r="K259" i="1"/>
  <c r="J259" i="1"/>
  <c r="F259" i="1"/>
  <c r="E259" i="1"/>
  <c r="P258" i="1"/>
  <c r="M258" i="1"/>
  <c r="L258" i="1"/>
  <c r="K258" i="1"/>
  <c r="J258" i="1"/>
  <c r="F258" i="1"/>
  <c r="E258" i="1"/>
  <c r="P257" i="1"/>
  <c r="M257" i="1"/>
  <c r="L257" i="1"/>
  <c r="K257" i="1"/>
  <c r="J257" i="1"/>
  <c r="F257" i="1"/>
  <c r="E257" i="1"/>
  <c r="P256" i="1"/>
  <c r="M256" i="1"/>
  <c r="L256" i="1"/>
  <c r="K256" i="1"/>
  <c r="J256" i="1"/>
  <c r="F256" i="1"/>
  <c r="E256" i="1"/>
  <c r="P255" i="1"/>
  <c r="M255" i="1"/>
  <c r="L255" i="1"/>
  <c r="K255" i="1"/>
  <c r="J255" i="1"/>
  <c r="F255" i="1"/>
  <c r="E255" i="1"/>
  <c r="P254" i="1"/>
  <c r="M254" i="1"/>
  <c r="L254" i="1"/>
  <c r="K254" i="1"/>
  <c r="J254" i="1"/>
  <c r="F254" i="1"/>
  <c r="E254" i="1"/>
  <c r="P253" i="1"/>
  <c r="M253" i="1"/>
  <c r="L253" i="1"/>
  <c r="K253" i="1"/>
  <c r="J253" i="1"/>
  <c r="F253" i="1"/>
  <c r="E253" i="1"/>
  <c r="P252" i="1"/>
  <c r="M252" i="1"/>
  <c r="L252" i="1"/>
  <c r="K252" i="1"/>
  <c r="J252" i="1"/>
  <c r="F252" i="1"/>
  <c r="E252" i="1"/>
  <c r="P251" i="1"/>
  <c r="M251" i="1"/>
  <c r="L251" i="1"/>
  <c r="K251" i="1"/>
  <c r="R251" i="1" s="1"/>
  <c r="J251" i="1"/>
  <c r="F251" i="1"/>
  <c r="E251" i="1"/>
  <c r="P250" i="1"/>
  <c r="M250" i="1"/>
  <c r="L250" i="1"/>
  <c r="K250" i="1"/>
  <c r="J250" i="1"/>
  <c r="F250" i="1"/>
  <c r="E250" i="1"/>
  <c r="P249" i="1"/>
  <c r="M249" i="1"/>
  <c r="L249" i="1"/>
  <c r="K249" i="1"/>
  <c r="J249" i="1"/>
  <c r="F249" i="1"/>
  <c r="E249" i="1"/>
  <c r="P248" i="1"/>
  <c r="M248" i="1"/>
  <c r="L248" i="1"/>
  <c r="K248" i="1"/>
  <c r="J248" i="1"/>
  <c r="F248" i="1"/>
  <c r="E248" i="1"/>
  <c r="P247" i="1"/>
  <c r="M247" i="1"/>
  <c r="L247" i="1"/>
  <c r="K247" i="1"/>
  <c r="J247" i="1"/>
  <c r="F247" i="1"/>
  <c r="E247" i="1"/>
  <c r="P246" i="1"/>
  <c r="M246" i="1"/>
  <c r="L246" i="1"/>
  <c r="K246" i="1"/>
  <c r="J246" i="1"/>
  <c r="F246" i="1"/>
  <c r="E246" i="1"/>
  <c r="P245" i="1"/>
  <c r="M245" i="1"/>
  <c r="L245" i="1"/>
  <c r="K245" i="1"/>
  <c r="J245" i="1"/>
  <c r="F245" i="1"/>
  <c r="E245" i="1"/>
  <c r="P244" i="1"/>
  <c r="M244" i="1"/>
  <c r="L244" i="1"/>
  <c r="K244" i="1"/>
  <c r="J244" i="1"/>
  <c r="F244" i="1"/>
  <c r="E244" i="1"/>
  <c r="P243" i="1"/>
  <c r="M243" i="1"/>
  <c r="L243" i="1"/>
  <c r="K243" i="1"/>
  <c r="J243" i="1"/>
  <c r="F243" i="1"/>
  <c r="E243" i="1"/>
  <c r="P242" i="1"/>
  <c r="M242" i="1"/>
  <c r="L242" i="1"/>
  <c r="K242" i="1"/>
  <c r="J242" i="1"/>
  <c r="R242" i="1" s="1"/>
  <c r="F242" i="1"/>
  <c r="E242" i="1"/>
  <c r="P241" i="1"/>
  <c r="M241" i="1"/>
  <c r="L241" i="1"/>
  <c r="K241" i="1"/>
  <c r="J241" i="1"/>
  <c r="F241" i="1"/>
  <c r="E241" i="1"/>
  <c r="P240" i="1"/>
  <c r="M240" i="1"/>
  <c r="L240" i="1"/>
  <c r="K240" i="1"/>
  <c r="J240" i="1"/>
  <c r="F240" i="1"/>
  <c r="E240" i="1"/>
  <c r="P239" i="1"/>
  <c r="M239" i="1"/>
  <c r="L239" i="1"/>
  <c r="K239" i="1"/>
  <c r="R239" i="1" s="1"/>
  <c r="J239" i="1"/>
  <c r="F239" i="1"/>
  <c r="E239" i="1"/>
  <c r="P238" i="1"/>
  <c r="M238" i="1"/>
  <c r="L238" i="1"/>
  <c r="K238" i="1"/>
  <c r="J238" i="1"/>
  <c r="F238" i="1"/>
  <c r="E238" i="1"/>
  <c r="P237" i="1"/>
  <c r="M237" i="1"/>
  <c r="L237" i="1"/>
  <c r="K237" i="1"/>
  <c r="J237" i="1"/>
  <c r="F237" i="1"/>
  <c r="E237" i="1"/>
  <c r="P236" i="1"/>
  <c r="M236" i="1"/>
  <c r="L236" i="1"/>
  <c r="K236" i="1"/>
  <c r="J236" i="1"/>
  <c r="F236" i="1"/>
  <c r="E236" i="1"/>
  <c r="P235" i="1"/>
  <c r="M235" i="1"/>
  <c r="L235" i="1"/>
  <c r="K235" i="1"/>
  <c r="J235" i="1"/>
  <c r="F235" i="1"/>
  <c r="E235" i="1"/>
  <c r="P234" i="1"/>
  <c r="M234" i="1"/>
  <c r="L234" i="1"/>
  <c r="K234" i="1"/>
  <c r="J234" i="1"/>
  <c r="F234" i="1"/>
  <c r="E234" i="1"/>
  <c r="P233" i="1"/>
  <c r="M233" i="1"/>
  <c r="L233" i="1"/>
  <c r="K233" i="1"/>
  <c r="J233" i="1"/>
  <c r="F233" i="1"/>
  <c r="E233" i="1"/>
  <c r="P232" i="1"/>
  <c r="M232" i="1"/>
  <c r="L232" i="1"/>
  <c r="K232" i="1"/>
  <c r="J232" i="1"/>
  <c r="F232" i="1"/>
  <c r="E232" i="1"/>
  <c r="P231" i="1"/>
  <c r="M231" i="1"/>
  <c r="L231" i="1"/>
  <c r="K231" i="1"/>
  <c r="J231" i="1"/>
  <c r="F231" i="1"/>
  <c r="E231" i="1"/>
  <c r="P230" i="1"/>
  <c r="M230" i="1"/>
  <c r="L230" i="1"/>
  <c r="K230" i="1"/>
  <c r="J230" i="1"/>
  <c r="F230" i="1"/>
  <c r="E230" i="1"/>
  <c r="P229" i="1"/>
  <c r="M229" i="1"/>
  <c r="L229" i="1"/>
  <c r="K229" i="1"/>
  <c r="J229" i="1"/>
  <c r="F229" i="1"/>
  <c r="E229" i="1"/>
  <c r="P228" i="1"/>
  <c r="M228" i="1"/>
  <c r="L228" i="1"/>
  <c r="K228" i="1"/>
  <c r="J228" i="1"/>
  <c r="F228" i="1"/>
  <c r="E228" i="1"/>
  <c r="P227" i="1"/>
  <c r="M227" i="1"/>
  <c r="L227" i="1"/>
  <c r="K227" i="1"/>
  <c r="J227" i="1"/>
  <c r="F227" i="1"/>
  <c r="E227" i="1"/>
  <c r="P226" i="1"/>
  <c r="M226" i="1"/>
  <c r="L226" i="1"/>
  <c r="K226" i="1"/>
  <c r="J226" i="1"/>
  <c r="R226" i="1" s="1"/>
  <c r="F226" i="1"/>
  <c r="E226" i="1"/>
  <c r="P225" i="1"/>
  <c r="M225" i="1"/>
  <c r="L225" i="1"/>
  <c r="K225" i="1"/>
  <c r="J225" i="1"/>
  <c r="F225" i="1"/>
  <c r="E225" i="1"/>
  <c r="P224" i="1"/>
  <c r="M224" i="1"/>
  <c r="L224" i="1"/>
  <c r="K224" i="1"/>
  <c r="J224" i="1"/>
  <c r="F224" i="1"/>
  <c r="E224" i="1"/>
  <c r="P223" i="1"/>
  <c r="M223" i="1"/>
  <c r="L223" i="1"/>
  <c r="K223" i="1"/>
  <c r="R223" i="1" s="1"/>
  <c r="J223" i="1"/>
  <c r="F223" i="1"/>
  <c r="E223" i="1"/>
  <c r="P222" i="1"/>
  <c r="M222" i="1"/>
  <c r="L222" i="1"/>
  <c r="K222" i="1"/>
  <c r="J222" i="1"/>
  <c r="F222" i="1"/>
  <c r="E222" i="1"/>
  <c r="P221" i="1"/>
  <c r="M221" i="1"/>
  <c r="L221" i="1"/>
  <c r="K221" i="1"/>
  <c r="J221" i="1"/>
  <c r="F221" i="1"/>
  <c r="E221" i="1"/>
  <c r="P220" i="1"/>
  <c r="M220" i="1"/>
  <c r="L220" i="1"/>
  <c r="K220" i="1"/>
  <c r="J220" i="1"/>
  <c r="F220" i="1"/>
  <c r="E220" i="1"/>
  <c r="P219" i="1"/>
  <c r="M219" i="1"/>
  <c r="L219" i="1"/>
  <c r="K219" i="1"/>
  <c r="J219" i="1"/>
  <c r="F219" i="1"/>
  <c r="E219" i="1"/>
  <c r="P218" i="1"/>
  <c r="M218" i="1"/>
  <c r="L218" i="1"/>
  <c r="K218" i="1"/>
  <c r="J218" i="1"/>
  <c r="F218" i="1"/>
  <c r="E218" i="1"/>
  <c r="P217" i="1"/>
  <c r="M217" i="1"/>
  <c r="L217" i="1"/>
  <c r="K217" i="1"/>
  <c r="J217" i="1"/>
  <c r="F217" i="1"/>
  <c r="E217" i="1"/>
  <c r="P216" i="1"/>
  <c r="M216" i="1"/>
  <c r="L216" i="1"/>
  <c r="K216" i="1"/>
  <c r="J216" i="1"/>
  <c r="F216" i="1"/>
  <c r="E216" i="1"/>
  <c r="P215" i="1"/>
  <c r="M215" i="1"/>
  <c r="L215" i="1"/>
  <c r="K215" i="1"/>
  <c r="J215" i="1"/>
  <c r="F215" i="1"/>
  <c r="E215" i="1"/>
  <c r="P214" i="1"/>
  <c r="M214" i="1"/>
  <c r="L214" i="1"/>
  <c r="K214" i="1"/>
  <c r="J214" i="1"/>
  <c r="F214" i="1"/>
  <c r="E214" i="1"/>
  <c r="P213" i="1"/>
  <c r="M213" i="1"/>
  <c r="L213" i="1"/>
  <c r="K213" i="1"/>
  <c r="J213" i="1"/>
  <c r="F213" i="1"/>
  <c r="E213" i="1"/>
  <c r="P212" i="1"/>
  <c r="M212" i="1"/>
  <c r="L212" i="1"/>
  <c r="K212" i="1"/>
  <c r="J212" i="1"/>
  <c r="F212" i="1"/>
  <c r="E212" i="1"/>
  <c r="P211" i="1"/>
  <c r="M211" i="1"/>
  <c r="L211" i="1"/>
  <c r="K211" i="1"/>
  <c r="J211" i="1"/>
  <c r="F211" i="1"/>
  <c r="E211" i="1"/>
  <c r="P210" i="1"/>
  <c r="M210" i="1"/>
  <c r="L210" i="1"/>
  <c r="K210" i="1"/>
  <c r="J210" i="1"/>
  <c r="R210" i="1" s="1"/>
  <c r="F210" i="1"/>
  <c r="E210" i="1"/>
  <c r="P209" i="1"/>
  <c r="M209" i="1"/>
  <c r="L209" i="1"/>
  <c r="K209" i="1"/>
  <c r="J209" i="1"/>
  <c r="F209" i="1"/>
  <c r="E209" i="1"/>
  <c r="P208" i="1"/>
  <c r="M208" i="1"/>
  <c r="L208" i="1"/>
  <c r="K208" i="1"/>
  <c r="J208" i="1"/>
  <c r="F208" i="1"/>
  <c r="E208" i="1"/>
  <c r="P207" i="1"/>
  <c r="M207" i="1"/>
  <c r="L207" i="1"/>
  <c r="K207" i="1"/>
  <c r="J207" i="1"/>
  <c r="F207" i="1"/>
  <c r="E207" i="1"/>
  <c r="P206" i="1"/>
  <c r="M206" i="1"/>
  <c r="L206" i="1"/>
  <c r="K206" i="1"/>
  <c r="J206" i="1"/>
  <c r="R206" i="1" s="1"/>
  <c r="F206" i="1"/>
  <c r="E206" i="1"/>
  <c r="P205" i="1"/>
  <c r="M205" i="1"/>
  <c r="L205" i="1"/>
  <c r="K205" i="1"/>
  <c r="J205" i="1"/>
  <c r="F205" i="1"/>
  <c r="E205" i="1"/>
  <c r="P204" i="1"/>
  <c r="M204" i="1"/>
  <c r="L204" i="1"/>
  <c r="K204" i="1"/>
  <c r="J204" i="1"/>
  <c r="F204" i="1"/>
  <c r="E204" i="1"/>
  <c r="P203" i="1"/>
  <c r="M203" i="1"/>
  <c r="L203" i="1"/>
  <c r="K203" i="1"/>
  <c r="R203" i="1" s="1"/>
  <c r="J203" i="1"/>
  <c r="F203" i="1"/>
  <c r="E203" i="1"/>
  <c r="P202" i="1"/>
  <c r="M202" i="1"/>
  <c r="L202" i="1"/>
  <c r="K202" i="1"/>
  <c r="J202" i="1"/>
  <c r="F202" i="1"/>
  <c r="E202" i="1"/>
  <c r="P201" i="1"/>
  <c r="M201" i="1"/>
  <c r="L201" i="1"/>
  <c r="K201" i="1"/>
  <c r="J201" i="1"/>
  <c r="F201" i="1"/>
  <c r="E201" i="1"/>
  <c r="P200" i="1"/>
  <c r="M200" i="1"/>
  <c r="L200" i="1"/>
  <c r="K200" i="1"/>
  <c r="J200" i="1"/>
  <c r="F200" i="1"/>
  <c r="E200" i="1"/>
  <c r="P199" i="1"/>
  <c r="M199" i="1"/>
  <c r="L199" i="1"/>
  <c r="K199" i="1"/>
  <c r="J199" i="1"/>
  <c r="F199" i="1"/>
  <c r="E199" i="1"/>
  <c r="P198" i="1"/>
  <c r="M198" i="1"/>
  <c r="L198" i="1"/>
  <c r="K198" i="1"/>
  <c r="J198" i="1"/>
  <c r="F198" i="1"/>
  <c r="E198" i="1"/>
  <c r="P197" i="1"/>
  <c r="M197" i="1"/>
  <c r="L197" i="1"/>
  <c r="K197" i="1"/>
  <c r="J197" i="1"/>
  <c r="F197" i="1"/>
  <c r="E197" i="1"/>
  <c r="P196" i="1"/>
  <c r="M196" i="1"/>
  <c r="L196" i="1"/>
  <c r="K196" i="1"/>
  <c r="J196" i="1"/>
  <c r="F196" i="1"/>
  <c r="E196" i="1"/>
  <c r="P195" i="1"/>
  <c r="M195" i="1"/>
  <c r="L195" i="1"/>
  <c r="K195" i="1"/>
  <c r="R195" i="1" s="1"/>
  <c r="J195" i="1"/>
  <c r="F195" i="1"/>
  <c r="E195" i="1"/>
  <c r="P194" i="1"/>
  <c r="M194" i="1"/>
  <c r="L194" i="1"/>
  <c r="K194" i="1"/>
  <c r="J194" i="1"/>
  <c r="F194" i="1"/>
  <c r="E194" i="1"/>
  <c r="P193" i="1"/>
  <c r="M193" i="1"/>
  <c r="L193" i="1"/>
  <c r="K193" i="1"/>
  <c r="J193" i="1"/>
  <c r="F193" i="1"/>
  <c r="E193" i="1"/>
  <c r="P192" i="1"/>
  <c r="M192" i="1"/>
  <c r="L192" i="1"/>
  <c r="K192" i="1"/>
  <c r="J192" i="1"/>
  <c r="F192" i="1"/>
  <c r="E192" i="1"/>
  <c r="P191" i="1"/>
  <c r="M191" i="1"/>
  <c r="L191" i="1"/>
  <c r="K191" i="1"/>
  <c r="J191" i="1"/>
  <c r="F191" i="1"/>
  <c r="E191" i="1"/>
  <c r="P190" i="1"/>
  <c r="M190" i="1"/>
  <c r="L190" i="1"/>
  <c r="K190" i="1"/>
  <c r="J190" i="1"/>
  <c r="F190" i="1"/>
  <c r="E190" i="1"/>
  <c r="P189" i="1"/>
  <c r="M189" i="1"/>
  <c r="L189" i="1"/>
  <c r="K189" i="1"/>
  <c r="J189" i="1"/>
  <c r="F189" i="1"/>
  <c r="E189" i="1"/>
  <c r="P188" i="1"/>
  <c r="M188" i="1"/>
  <c r="L188" i="1"/>
  <c r="K188" i="1"/>
  <c r="J188" i="1"/>
  <c r="F188" i="1"/>
  <c r="E188" i="1"/>
  <c r="P187" i="1"/>
  <c r="M187" i="1"/>
  <c r="L187" i="1"/>
  <c r="K187" i="1"/>
  <c r="R187" i="1" s="1"/>
  <c r="J187" i="1"/>
  <c r="F187" i="1"/>
  <c r="E187" i="1"/>
  <c r="P186" i="1"/>
  <c r="M186" i="1"/>
  <c r="L186" i="1"/>
  <c r="K186" i="1"/>
  <c r="J186" i="1"/>
  <c r="F186" i="1"/>
  <c r="E186" i="1"/>
  <c r="P185" i="1"/>
  <c r="M185" i="1"/>
  <c r="L185" i="1"/>
  <c r="K185" i="1"/>
  <c r="J185" i="1"/>
  <c r="F185" i="1"/>
  <c r="E185" i="1"/>
  <c r="P184" i="1"/>
  <c r="M184" i="1"/>
  <c r="L184" i="1"/>
  <c r="K184" i="1"/>
  <c r="J184" i="1"/>
  <c r="F184" i="1"/>
  <c r="E184" i="1"/>
  <c r="P183" i="1"/>
  <c r="M183" i="1"/>
  <c r="L183" i="1"/>
  <c r="K183" i="1"/>
  <c r="J183" i="1"/>
  <c r="F183" i="1"/>
  <c r="E183" i="1"/>
  <c r="P182" i="1"/>
  <c r="M182" i="1"/>
  <c r="L182" i="1"/>
  <c r="K182" i="1"/>
  <c r="J182" i="1"/>
  <c r="R182" i="1" s="1"/>
  <c r="F182" i="1"/>
  <c r="E182" i="1"/>
  <c r="P181" i="1"/>
  <c r="M181" i="1"/>
  <c r="L181" i="1"/>
  <c r="K181" i="1"/>
  <c r="J181" i="1"/>
  <c r="F181" i="1"/>
  <c r="E181" i="1"/>
  <c r="P180" i="1"/>
  <c r="M180" i="1"/>
  <c r="L180" i="1"/>
  <c r="K180" i="1"/>
  <c r="J180" i="1"/>
  <c r="F180" i="1"/>
  <c r="E180" i="1"/>
  <c r="P179" i="1"/>
  <c r="M179" i="1"/>
  <c r="L179" i="1"/>
  <c r="K179" i="1"/>
  <c r="J179" i="1"/>
  <c r="F179" i="1"/>
  <c r="E179" i="1"/>
  <c r="P178" i="1"/>
  <c r="M178" i="1"/>
  <c r="L178" i="1"/>
  <c r="K178" i="1"/>
  <c r="J178" i="1"/>
  <c r="F178" i="1"/>
  <c r="E178" i="1"/>
  <c r="P177" i="1"/>
  <c r="M177" i="1"/>
  <c r="L177" i="1"/>
  <c r="K177" i="1"/>
  <c r="J177" i="1"/>
  <c r="F177" i="1"/>
  <c r="E177" i="1"/>
  <c r="P176" i="1"/>
  <c r="M176" i="1"/>
  <c r="L176" i="1"/>
  <c r="K176" i="1"/>
  <c r="J176" i="1"/>
  <c r="F176" i="1"/>
  <c r="E176" i="1"/>
  <c r="P175" i="1"/>
  <c r="M175" i="1"/>
  <c r="L175" i="1"/>
  <c r="K175" i="1"/>
  <c r="J175" i="1"/>
  <c r="F175" i="1"/>
  <c r="E175" i="1"/>
  <c r="P174" i="1"/>
  <c r="M174" i="1"/>
  <c r="L174" i="1"/>
  <c r="K174" i="1"/>
  <c r="J174" i="1"/>
  <c r="F174" i="1"/>
  <c r="E174" i="1"/>
  <c r="P173" i="1"/>
  <c r="M173" i="1"/>
  <c r="L173" i="1"/>
  <c r="K173" i="1"/>
  <c r="J173" i="1"/>
  <c r="F173" i="1"/>
  <c r="E173" i="1"/>
  <c r="P172" i="1"/>
  <c r="M172" i="1"/>
  <c r="L172" i="1"/>
  <c r="K172" i="1"/>
  <c r="J172" i="1"/>
  <c r="F172" i="1"/>
  <c r="E172" i="1"/>
  <c r="P171" i="1"/>
  <c r="M171" i="1"/>
  <c r="L171" i="1"/>
  <c r="K171" i="1"/>
  <c r="J171" i="1"/>
  <c r="F171" i="1"/>
  <c r="E171" i="1"/>
  <c r="P170" i="1"/>
  <c r="M170" i="1"/>
  <c r="L170" i="1"/>
  <c r="K170" i="1"/>
  <c r="J170" i="1"/>
  <c r="F170" i="1"/>
  <c r="E170" i="1"/>
  <c r="P169" i="1"/>
  <c r="M169" i="1"/>
  <c r="L169" i="1"/>
  <c r="K169" i="1"/>
  <c r="J169" i="1"/>
  <c r="F169" i="1"/>
  <c r="E169" i="1"/>
  <c r="P168" i="1"/>
  <c r="M168" i="1"/>
  <c r="L168" i="1"/>
  <c r="K168" i="1"/>
  <c r="J168" i="1"/>
  <c r="F168" i="1"/>
  <c r="E168" i="1"/>
  <c r="P167" i="1"/>
  <c r="M167" i="1"/>
  <c r="L167" i="1"/>
  <c r="K167" i="1"/>
  <c r="J167" i="1"/>
  <c r="F167" i="1"/>
  <c r="E167" i="1"/>
  <c r="P166" i="1"/>
  <c r="M166" i="1"/>
  <c r="L166" i="1"/>
  <c r="K166" i="1"/>
  <c r="J166" i="1"/>
  <c r="F166" i="1"/>
  <c r="E166" i="1"/>
  <c r="P165" i="1"/>
  <c r="M165" i="1"/>
  <c r="L165" i="1"/>
  <c r="K165" i="1"/>
  <c r="J165" i="1"/>
  <c r="F165" i="1"/>
  <c r="E165" i="1"/>
  <c r="P164" i="1"/>
  <c r="M164" i="1"/>
  <c r="L164" i="1"/>
  <c r="K164" i="1"/>
  <c r="J164" i="1"/>
  <c r="F164" i="1"/>
  <c r="E164" i="1"/>
  <c r="P163" i="1"/>
  <c r="M163" i="1"/>
  <c r="L163" i="1"/>
  <c r="K163" i="1"/>
  <c r="R163" i="1" s="1"/>
  <c r="J163" i="1"/>
  <c r="F163" i="1"/>
  <c r="E163" i="1"/>
  <c r="P162" i="1"/>
  <c r="M162" i="1"/>
  <c r="L162" i="1"/>
  <c r="K162" i="1"/>
  <c r="J162" i="1"/>
  <c r="F162" i="1"/>
  <c r="E162" i="1"/>
  <c r="P161" i="1"/>
  <c r="M161" i="1"/>
  <c r="L161" i="1"/>
  <c r="K161" i="1"/>
  <c r="J161" i="1"/>
  <c r="F161" i="1"/>
  <c r="E161" i="1"/>
  <c r="P160" i="1"/>
  <c r="M160" i="1"/>
  <c r="L160" i="1"/>
  <c r="K160" i="1"/>
  <c r="J160" i="1"/>
  <c r="F160" i="1"/>
  <c r="E160" i="1"/>
  <c r="P159" i="1"/>
  <c r="M159" i="1"/>
  <c r="L159" i="1"/>
  <c r="K159" i="1"/>
  <c r="R159" i="1" s="1"/>
  <c r="J159" i="1"/>
  <c r="F159" i="1"/>
  <c r="E159" i="1"/>
  <c r="P158" i="1"/>
  <c r="M158" i="1"/>
  <c r="L158" i="1"/>
  <c r="K158" i="1"/>
  <c r="J158" i="1"/>
  <c r="F158" i="1"/>
  <c r="E158" i="1"/>
  <c r="P157" i="1"/>
  <c r="M157" i="1"/>
  <c r="L157" i="1"/>
  <c r="K157" i="1"/>
  <c r="J157" i="1"/>
  <c r="F157" i="1"/>
  <c r="E157" i="1"/>
  <c r="P156" i="1"/>
  <c r="M156" i="1"/>
  <c r="L156" i="1"/>
  <c r="K156" i="1"/>
  <c r="J156" i="1"/>
  <c r="F156" i="1"/>
  <c r="E156" i="1"/>
  <c r="P155" i="1"/>
  <c r="M155" i="1"/>
  <c r="L155" i="1"/>
  <c r="K155" i="1"/>
  <c r="R155" i="1" s="1"/>
  <c r="J155" i="1"/>
  <c r="F155" i="1"/>
  <c r="E155" i="1"/>
  <c r="P154" i="1"/>
  <c r="M154" i="1"/>
  <c r="L154" i="1"/>
  <c r="K154" i="1"/>
  <c r="J154" i="1"/>
  <c r="F154" i="1"/>
  <c r="E154" i="1"/>
  <c r="P153" i="1"/>
  <c r="M153" i="1"/>
  <c r="L153" i="1"/>
  <c r="K153" i="1"/>
  <c r="J153" i="1"/>
  <c r="F153" i="1"/>
  <c r="E153" i="1"/>
  <c r="P152" i="1"/>
  <c r="M152" i="1"/>
  <c r="L152" i="1"/>
  <c r="K152" i="1"/>
  <c r="J152" i="1"/>
  <c r="F152" i="1"/>
  <c r="E152" i="1"/>
  <c r="P151" i="1"/>
  <c r="M151" i="1"/>
  <c r="L151" i="1"/>
  <c r="K151" i="1"/>
  <c r="J151" i="1"/>
  <c r="F151" i="1"/>
  <c r="E151" i="1"/>
  <c r="P150" i="1"/>
  <c r="M150" i="1"/>
  <c r="L150" i="1"/>
  <c r="K150" i="1"/>
  <c r="J150" i="1"/>
  <c r="F150" i="1"/>
  <c r="E150" i="1"/>
  <c r="P149" i="1"/>
  <c r="M149" i="1"/>
  <c r="L149" i="1"/>
  <c r="K149" i="1"/>
  <c r="J149" i="1"/>
  <c r="F149" i="1"/>
  <c r="E149" i="1"/>
  <c r="P148" i="1"/>
  <c r="M148" i="1"/>
  <c r="L148" i="1"/>
  <c r="K148" i="1"/>
  <c r="J148" i="1"/>
  <c r="F148" i="1"/>
  <c r="E148" i="1"/>
  <c r="P147" i="1"/>
  <c r="M147" i="1"/>
  <c r="L147" i="1"/>
  <c r="K147" i="1"/>
  <c r="J147" i="1"/>
  <c r="F147" i="1"/>
  <c r="E147" i="1"/>
  <c r="P146" i="1"/>
  <c r="M146" i="1"/>
  <c r="L146" i="1"/>
  <c r="K146" i="1"/>
  <c r="J146" i="1"/>
  <c r="F146" i="1"/>
  <c r="E146" i="1"/>
  <c r="P145" i="1"/>
  <c r="M145" i="1"/>
  <c r="L145" i="1"/>
  <c r="K145" i="1"/>
  <c r="J145" i="1"/>
  <c r="F145" i="1"/>
  <c r="E145" i="1"/>
  <c r="P144" i="1"/>
  <c r="M144" i="1"/>
  <c r="L144" i="1"/>
  <c r="K144" i="1"/>
  <c r="J144" i="1"/>
  <c r="F144" i="1"/>
  <c r="E144" i="1"/>
  <c r="P143" i="1"/>
  <c r="M143" i="1"/>
  <c r="L143" i="1"/>
  <c r="K143" i="1"/>
  <c r="J143" i="1"/>
  <c r="F143" i="1"/>
  <c r="E143" i="1"/>
  <c r="P142" i="1"/>
  <c r="M142" i="1"/>
  <c r="L142" i="1"/>
  <c r="K142" i="1"/>
  <c r="J142" i="1"/>
  <c r="R142" i="1" s="1"/>
  <c r="F142" i="1"/>
  <c r="E142" i="1"/>
  <c r="P141" i="1"/>
  <c r="M141" i="1"/>
  <c r="L141" i="1"/>
  <c r="K141" i="1"/>
  <c r="J141" i="1"/>
  <c r="F141" i="1"/>
  <c r="E141" i="1"/>
  <c r="P140" i="1"/>
  <c r="M140" i="1"/>
  <c r="L140" i="1"/>
  <c r="K140" i="1"/>
  <c r="J140" i="1"/>
  <c r="F140" i="1"/>
  <c r="E140" i="1"/>
  <c r="P139" i="1"/>
  <c r="M139" i="1"/>
  <c r="L139" i="1"/>
  <c r="K139" i="1"/>
  <c r="R139" i="1" s="1"/>
  <c r="J139" i="1"/>
  <c r="F139" i="1"/>
  <c r="E139" i="1"/>
  <c r="P138" i="1"/>
  <c r="M138" i="1"/>
  <c r="L138" i="1"/>
  <c r="K138" i="1"/>
  <c r="J138" i="1"/>
  <c r="F138" i="1"/>
  <c r="E138" i="1"/>
  <c r="P137" i="1"/>
  <c r="M137" i="1"/>
  <c r="L137" i="1"/>
  <c r="K137" i="1"/>
  <c r="J137" i="1"/>
  <c r="F137" i="1"/>
  <c r="E137" i="1"/>
  <c r="P136" i="1"/>
  <c r="M136" i="1"/>
  <c r="L136" i="1"/>
  <c r="K136" i="1"/>
  <c r="J136" i="1"/>
  <c r="F136" i="1"/>
  <c r="E136" i="1"/>
  <c r="P135" i="1"/>
  <c r="M135" i="1"/>
  <c r="L135" i="1"/>
  <c r="K135" i="1"/>
  <c r="J135" i="1"/>
  <c r="F135" i="1"/>
  <c r="E135" i="1"/>
  <c r="P134" i="1"/>
  <c r="M134" i="1"/>
  <c r="L134" i="1"/>
  <c r="K134" i="1"/>
  <c r="J134" i="1"/>
  <c r="F134" i="1"/>
  <c r="E134" i="1"/>
  <c r="P133" i="1"/>
  <c r="M133" i="1"/>
  <c r="L133" i="1"/>
  <c r="K133" i="1"/>
  <c r="J133" i="1"/>
  <c r="F133" i="1"/>
  <c r="E133" i="1"/>
  <c r="P132" i="1"/>
  <c r="M132" i="1"/>
  <c r="L132" i="1"/>
  <c r="K132" i="1"/>
  <c r="J132" i="1"/>
  <c r="F132" i="1"/>
  <c r="E132" i="1"/>
  <c r="P131" i="1"/>
  <c r="M131" i="1"/>
  <c r="L131" i="1"/>
  <c r="K131" i="1"/>
  <c r="R131" i="1" s="1"/>
  <c r="J131" i="1"/>
  <c r="F131" i="1"/>
  <c r="E131" i="1"/>
  <c r="P130" i="1"/>
  <c r="M130" i="1"/>
  <c r="L130" i="1"/>
  <c r="K130" i="1"/>
  <c r="J130" i="1"/>
  <c r="F130" i="1"/>
  <c r="E130" i="1"/>
  <c r="P129" i="1"/>
  <c r="M129" i="1"/>
  <c r="L129" i="1"/>
  <c r="K129" i="1"/>
  <c r="J129" i="1"/>
  <c r="F129" i="1"/>
  <c r="E129" i="1"/>
  <c r="P128" i="1"/>
  <c r="M128" i="1"/>
  <c r="L128" i="1"/>
  <c r="K128" i="1"/>
  <c r="J128" i="1"/>
  <c r="F128" i="1"/>
  <c r="E128" i="1"/>
  <c r="P127" i="1"/>
  <c r="M127" i="1"/>
  <c r="L127" i="1"/>
  <c r="K127" i="1"/>
  <c r="J127" i="1"/>
  <c r="F127" i="1"/>
  <c r="E127" i="1"/>
  <c r="P126" i="1"/>
  <c r="M126" i="1"/>
  <c r="L126" i="1"/>
  <c r="K126" i="1"/>
  <c r="J126" i="1"/>
  <c r="F126" i="1"/>
  <c r="E126" i="1"/>
  <c r="P125" i="1"/>
  <c r="M125" i="1"/>
  <c r="L125" i="1"/>
  <c r="K125" i="1"/>
  <c r="J125" i="1"/>
  <c r="F125" i="1"/>
  <c r="E125" i="1"/>
  <c r="P124" i="1"/>
  <c r="M124" i="1"/>
  <c r="L124" i="1"/>
  <c r="K124" i="1"/>
  <c r="J124" i="1"/>
  <c r="F124" i="1"/>
  <c r="E124" i="1"/>
  <c r="P123" i="1"/>
  <c r="M123" i="1"/>
  <c r="L123" i="1"/>
  <c r="K123" i="1"/>
  <c r="R123" i="1" s="1"/>
  <c r="J123" i="1"/>
  <c r="F123" i="1"/>
  <c r="E123" i="1"/>
  <c r="P122" i="1"/>
  <c r="M122" i="1"/>
  <c r="L122" i="1"/>
  <c r="K122" i="1"/>
  <c r="J122" i="1"/>
  <c r="F122" i="1"/>
  <c r="E122" i="1"/>
  <c r="P121" i="1"/>
  <c r="M121" i="1"/>
  <c r="L121" i="1"/>
  <c r="K121" i="1"/>
  <c r="J121" i="1"/>
  <c r="F121" i="1"/>
  <c r="E121" i="1"/>
  <c r="P120" i="1"/>
  <c r="M120" i="1"/>
  <c r="L120" i="1"/>
  <c r="K120" i="1"/>
  <c r="J120" i="1"/>
  <c r="F120" i="1"/>
  <c r="E120" i="1"/>
  <c r="P119" i="1"/>
  <c r="M119" i="1"/>
  <c r="L119" i="1"/>
  <c r="K119" i="1"/>
  <c r="R119" i="1" s="1"/>
  <c r="J119" i="1"/>
  <c r="F119" i="1"/>
  <c r="E119" i="1"/>
  <c r="P118" i="1"/>
  <c r="M118" i="1"/>
  <c r="L118" i="1"/>
  <c r="K118" i="1"/>
  <c r="J118" i="1"/>
  <c r="F118" i="1"/>
  <c r="E118" i="1"/>
  <c r="P117" i="1"/>
  <c r="M117" i="1"/>
  <c r="L117" i="1"/>
  <c r="K117" i="1"/>
  <c r="J117" i="1"/>
  <c r="F117" i="1"/>
  <c r="E117" i="1"/>
  <c r="P116" i="1"/>
  <c r="M116" i="1"/>
  <c r="L116" i="1"/>
  <c r="K116" i="1"/>
  <c r="J116" i="1"/>
  <c r="F116" i="1"/>
  <c r="E116" i="1"/>
  <c r="P115" i="1"/>
  <c r="M115" i="1"/>
  <c r="L115" i="1"/>
  <c r="K115" i="1"/>
  <c r="R115" i="1" s="1"/>
  <c r="J115" i="1"/>
  <c r="F115" i="1"/>
  <c r="E115" i="1"/>
  <c r="P114" i="1"/>
  <c r="M114" i="1"/>
  <c r="L114" i="1"/>
  <c r="K114" i="1"/>
  <c r="J114" i="1"/>
  <c r="F114" i="1"/>
  <c r="E114" i="1"/>
  <c r="P113" i="1"/>
  <c r="M113" i="1"/>
  <c r="L113" i="1"/>
  <c r="K113" i="1"/>
  <c r="J113" i="1"/>
  <c r="F113" i="1"/>
  <c r="E113" i="1"/>
  <c r="P112" i="1"/>
  <c r="M112" i="1"/>
  <c r="L112" i="1"/>
  <c r="K112" i="1"/>
  <c r="J112" i="1"/>
  <c r="F112" i="1"/>
  <c r="E112" i="1"/>
  <c r="P111" i="1"/>
  <c r="M111" i="1"/>
  <c r="L111" i="1"/>
  <c r="K111" i="1"/>
  <c r="R111" i="1" s="1"/>
  <c r="J111" i="1"/>
  <c r="F111" i="1"/>
  <c r="E111" i="1"/>
  <c r="P110" i="1"/>
  <c r="M110" i="1"/>
  <c r="L110" i="1"/>
  <c r="K110" i="1"/>
  <c r="J110" i="1"/>
  <c r="F110" i="1"/>
  <c r="E110" i="1"/>
  <c r="P109" i="1"/>
  <c r="M109" i="1"/>
  <c r="L109" i="1"/>
  <c r="K109" i="1"/>
  <c r="J109" i="1"/>
  <c r="F109" i="1"/>
  <c r="E109" i="1"/>
  <c r="P108" i="1"/>
  <c r="M108" i="1"/>
  <c r="L108" i="1"/>
  <c r="K108" i="1"/>
  <c r="J108" i="1"/>
  <c r="F108" i="1"/>
  <c r="E108" i="1"/>
  <c r="P107" i="1"/>
  <c r="M107" i="1"/>
  <c r="L107" i="1"/>
  <c r="K107" i="1"/>
  <c r="R107" i="1" s="1"/>
  <c r="J107" i="1"/>
  <c r="F107" i="1"/>
  <c r="E107" i="1"/>
  <c r="P106" i="1"/>
  <c r="M106" i="1"/>
  <c r="L106" i="1"/>
  <c r="K106" i="1"/>
  <c r="J106" i="1"/>
  <c r="F106" i="1"/>
  <c r="E106" i="1"/>
  <c r="P105" i="1"/>
  <c r="M105" i="1"/>
  <c r="L105" i="1"/>
  <c r="K105" i="1"/>
  <c r="J105" i="1"/>
  <c r="F105" i="1"/>
  <c r="E105" i="1"/>
  <c r="P104" i="1"/>
  <c r="M104" i="1"/>
  <c r="L104" i="1"/>
  <c r="K104" i="1"/>
  <c r="J104" i="1"/>
  <c r="F104" i="1"/>
  <c r="E104" i="1"/>
  <c r="P103" i="1"/>
  <c r="M103" i="1"/>
  <c r="L103" i="1"/>
  <c r="K103" i="1"/>
  <c r="R103" i="1" s="1"/>
  <c r="J103" i="1"/>
  <c r="F103" i="1"/>
  <c r="E103" i="1"/>
  <c r="P102" i="1"/>
  <c r="M102" i="1"/>
  <c r="L102" i="1"/>
  <c r="K102" i="1"/>
  <c r="J102" i="1"/>
  <c r="F102" i="1"/>
  <c r="E102" i="1"/>
  <c r="P101" i="1"/>
  <c r="M101" i="1"/>
  <c r="L101" i="1"/>
  <c r="K101" i="1"/>
  <c r="J101" i="1"/>
  <c r="F101" i="1"/>
  <c r="E101" i="1"/>
  <c r="P100" i="1"/>
  <c r="M100" i="1"/>
  <c r="L100" i="1"/>
  <c r="K100" i="1"/>
  <c r="J100" i="1"/>
  <c r="F100" i="1"/>
  <c r="E100" i="1"/>
  <c r="P99" i="1"/>
  <c r="M99" i="1"/>
  <c r="L99" i="1"/>
  <c r="K99" i="1"/>
  <c r="J99" i="1"/>
  <c r="F99" i="1"/>
  <c r="E99" i="1"/>
  <c r="P98" i="1"/>
  <c r="M98" i="1"/>
  <c r="L98" i="1"/>
  <c r="K98" i="1"/>
  <c r="J98" i="1"/>
  <c r="F98" i="1"/>
  <c r="E98" i="1"/>
  <c r="P97" i="1"/>
  <c r="M97" i="1"/>
  <c r="L97" i="1"/>
  <c r="K97" i="1"/>
  <c r="J97" i="1"/>
  <c r="F97" i="1"/>
  <c r="E97" i="1"/>
  <c r="P96" i="1"/>
  <c r="M96" i="1"/>
  <c r="L96" i="1"/>
  <c r="K96" i="1"/>
  <c r="J96" i="1"/>
  <c r="F96" i="1"/>
  <c r="E96" i="1"/>
  <c r="P95" i="1"/>
  <c r="M95" i="1"/>
  <c r="L95" i="1"/>
  <c r="K95" i="1"/>
  <c r="J95" i="1"/>
  <c r="F95" i="1"/>
  <c r="E95" i="1"/>
  <c r="P94" i="1"/>
  <c r="M94" i="1"/>
  <c r="L94" i="1"/>
  <c r="K94" i="1"/>
  <c r="J94" i="1"/>
  <c r="R94" i="1" s="1"/>
  <c r="F94" i="1"/>
  <c r="E94" i="1"/>
  <c r="P93" i="1"/>
  <c r="M93" i="1"/>
  <c r="L93" i="1"/>
  <c r="K93" i="1"/>
  <c r="J93" i="1"/>
  <c r="F93" i="1"/>
  <c r="E93" i="1"/>
  <c r="P92" i="1"/>
  <c r="M92" i="1"/>
  <c r="L92" i="1"/>
  <c r="K92" i="1"/>
  <c r="J92" i="1"/>
  <c r="F92" i="1"/>
  <c r="E92" i="1"/>
  <c r="P91" i="1"/>
  <c r="M91" i="1"/>
  <c r="L91" i="1"/>
  <c r="K91" i="1"/>
  <c r="J91" i="1"/>
  <c r="F91" i="1"/>
  <c r="E91" i="1"/>
  <c r="P90" i="1"/>
  <c r="M90" i="1"/>
  <c r="L90" i="1"/>
  <c r="K90" i="1"/>
  <c r="J90" i="1"/>
  <c r="R90" i="1" s="1"/>
  <c r="F90" i="1"/>
  <c r="E90" i="1"/>
  <c r="P89" i="1"/>
  <c r="M89" i="1"/>
  <c r="L89" i="1"/>
  <c r="K89" i="1"/>
  <c r="J89" i="1"/>
  <c r="F89" i="1"/>
  <c r="E89" i="1"/>
  <c r="P88" i="1"/>
  <c r="M88" i="1"/>
  <c r="L88" i="1"/>
  <c r="K88" i="1"/>
  <c r="J88" i="1"/>
  <c r="F88" i="1"/>
  <c r="E88" i="1"/>
  <c r="P87" i="1"/>
  <c r="M87" i="1"/>
  <c r="L87" i="1"/>
  <c r="K87" i="1"/>
  <c r="J87" i="1"/>
  <c r="F87" i="1"/>
  <c r="E87" i="1"/>
  <c r="P86" i="1"/>
  <c r="M86" i="1"/>
  <c r="L86" i="1"/>
  <c r="K86" i="1"/>
  <c r="J86" i="1"/>
  <c r="F86" i="1"/>
  <c r="E86" i="1"/>
  <c r="P85" i="1"/>
  <c r="M85" i="1"/>
  <c r="L85" i="1"/>
  <c r="K85" i="1"/>
  <c r="J85" i="1"/>
  <c r="F85" i="1"/>
  <c r="E85" i="1"/>
  <c r="P84" i="1"/>
  <c r="M84" i="1"/>
  <c r="L84" i="1"/>
  <c r="K84" i="1"/>
  <c r="J84" i="1"/>
  <c r="F84" i="1"/>
  <c r="E84" i="1"/>
  <c r="P83" i="1"/>
  <c r="M83" i="1"/>
  <c r="L83" i="1"/>
  <c r="K83" i="1"/>
  <c r="R83" i="1" s="1"/>
  <c r="J83" i="1"/>
  <c r="F83" i="1"/>
  <c r="E83" i="1"/>
  <c r="P82" i="1"/>
  <c r="M82" i="1"/>
  <c r="L82" i="1"/>
  <c r="K82" i="1"/>
  <c r="J82" i="1"/>
  <c r="F82" i="1"/>
  <c r="E82" i="1"/>
  <c r="P81" i="1"/>
  <c r="M81" i="1"/>
  <c r="L81" i="1"/>
  <c r="K81" i="1"/>
  <c r="J81" i="1"/>
  <c r="F81" i="1"/>
  <c r="E81" i="1"/>
  <c r="P80" i="1"/>
  <c r="M80" i="1"/>
  <c r="L80" i="1"/>
  <c r="K80" i="1"/>
  <c r="J80" i="1"/>
  <c r="F80" i="1"/>
  <c r="E80" i="1"/>
  <c r="P79" i="1"/>
  <c r="M79" i="1"/>
  <c r="L79" i="1"/>
  <c r="K79" i="1"/>
  <c r="J79" i="1"/>
  <c r="F79" i="1"/>
  <c r="E79" i="1"/>
  <c r="P78" i="1"/>
  <c r="M78" i="1"/>
  <c r="L78" i="1"/>
  <c r="K78" i="1"/>
  <c r="J78" i="1"/>
  <c r="R78" i="1" s="1"/>
  <c r="F78" i="1"/>
  <c r="E78" i="1"/>
  <c r="P77" i="1"/>
  <c r="M77" i="1"/>
  <c r="L77" i="1"/>
  <c r="K77" i="1"/>
  <c r="J77" i="1"/>
  <c r="F77" i="1"/>
  <c r="E77" i="1"/>
  <c r="P76" i="1"/>
  <c r="M76" i="1"/>
  <c r="L76" i="1"/>
  <c r="K76" i="1"/>
  <c r="J76" i="1"/>
  <c r="F76" i="1"/>
  <c r="E76" i="1"/>
  <c r="P75" i="1"/>
  <c r="M75" i="1"/>
  <c r="L75" i="1"/>
  <c r="K75" i="1"/>
  <c r="R75" i="1" s="1"/>
  <c r="J75" i="1"/>
  <c r="F75" i="1"/>
  <c r="E75" i="1"/>
  <c r="P74" i="1"/>
  <c r="M74" i="1"/>
  <c r="L74" i="1"/>
  <c r="K74" i="1"/>
  <c r="J74" i="1"/>
  <c r="F74" i="1"/>
  <c r="E74" i="1"/>
  <c r="P73" i="1"/>
  <c r="M73" i="1"/>
  <c r="L73" i="1"/>
  <c r="K73" i="1"/>
  <c r="J73" i="1"/>
  <c r="F73" i="1"/>
  <c r="E73" i="1"/>
  <c r="P72" i="1"/>
  <c r="M72" i="1"/>
  <c r="L72" i="1"/>
  <c r="K72" i="1"/>
  <c r="J72" i="1"/>
  <c r="F72" i="1"/>
  <c r="E72" i="1"/>
  <c r="P71" i="1"/>
  <c r="M71" i="1"/>
  <c r="L71" i="1"/>
  <c r="K71" i="1"/>
  <c r="J71" i="1"/>
  <c r="F71" i="1"/>
  <c r="E71" i="1"/>
  <c r="P70" i="1"/>
  <c r="M70" i="1"/>
  <c r="L70" i="1"/>
  <c r="K70" i="1"/>
  <c r="J70" i="1"/>
  <c r="F70" i="1"/>
  <c r="E70" i="1"/>
  <c r="P69" i="1"/>
  <c r="M69" i="1"/>
  <c r="L69" i="1"/>
  <c r="K69" i="1"/>
  <c r="J69" i="1"/>
  <c r="F69" i="1"/>
  <c r="E69" i="1"/>
  <c r="P68" i="1"/>
  <c r="M68" i="1"/>
  <c r="L68" i="1"/>
  <c r="K68" i="1"/>
  <c r="J68" i="1"/>
  <c r="F68" i="1"/>
  <c r="E68" i="1"/>
  <c r="P67" i="1"/>
  <c r="M67" i="1"/>
  <c r="L67" i="1"/>
  <c r="K67" i="1"/>
  <c r="R67" i="1" s="1"/>
  <c r="J67" i="1"/>
  <c r="F67" i="1"/>
  <c r="E67" i="1"/>
  <c r="P66" i="1"/>
  <c r="M66" i="1"/>
  <c r="L66" i="1"/>
  <c r="K66" i="1"/>
  <c r="J66" i="1"/>
  <c r="F66" i="1"/>
  <c r="E66" i="1"/>
  <c r="P65" i="1"/>
  <c r="M65" i="1"/>
  <c r="L65" i="1"/>
  <c r="K65" i="1"/>
  <c r="J65" i="1"/>
  <c r="F65" i="1"/>
  <c r="E65" i="1"/>
  <c r="P64" i="1"/>
  <c r="M64" i="1"/>
  <c r="L64" i="1"/>
  <c r="K64" i="1"/>
  <c r="J64" i="1"/>
  <c r="F64" i="1"/>
  <c r="E64" i="1"/>
  <c r="P63" i="1"/>
  <c r="M63" i="1"/>
  <c r="L63" i="1"/>
  <c r="K63" i="1"/>
  <c r="J63" i="1"/>
  <c r="F63" i="1"/>
  <c r="E63" i="1"/>
  <c r="P62" i="1"/>
  <c r="M62" i="1"/>
  <c r="L62" i="1"/>
  <c r="K62" i="1"/>
  <c r="J62" i="1"/>
  <c r="F62" i="1"/>
  <c r="E62" i="1"/>
  <c r="P61" i="1"/>
  <c r="M61" i="1"/>
  <c r="L61" i="1"/>
  <c r="K61" i="1"/>
  <c r="J61" i="1"/>
  <c r="F61" i="1"/>
  <c r="E61" i="1"/>
  <c r="P60" i="1"/>
  <c r="M60" i="1"/>
  <c r="L60" i="1"/>
  <c r="K60" i="1"/>
  <c r="J60" i="1"/>
  <c r="F60" i="1"/>
  <c r="E60" i="1"/>
  <c r="P59" i="1"/>
  <c r="M59" i="1"/>
  <c r="L59" i="1"/>
  <c r="K59" i="1"/>
  <c r="R59" i="1" s="1"/>
  <c r="J59" i="1"/>
  <c r="F59" i="1"/>
  <c r="E59" i="1"/>
  <c r="P58" i="1"/>
  <c r="M58" i="1"/>
  <c r="L58" i="1"/>
  <c r="K58" i="1"/>
  <c r="J58" i="1"/>
  <c r="F58" i="1"/>
  <c r="E58" i="1"/>
  <c r="P57" i="1"/>
  <c r="M57" i="1"/>
  <c r="L57" i="1"/>
  <c r="K57" i="1"/>
  <c r="J57" i="1"/>
  <c r="F57" i="1"/>
  <c r="E57" i="1"/>
  <c r="P56" i="1"/>
  <c r="M56" i="1"/>
  <c r="L56" i="1"/>
  <c r="K56" i="1"/>
  <c r="J56" i="1"/>
  <c r="F56" i="1"/>
  <c r="E56" i="1"/>
  <c r="P55" i="1"/>
  <c r="M55" i="1"/>
  <c r="L55" i="1"/>
  <c r="K55" i="1"/>
  <c r="J55" i="1"/>
  <c r="F55" i="1"/>
  <c r="E55" i="1"/>
  <c r="P54" i="1"/>
  <c r="M54" i="1"/>
  <c r="L54" i="1"/>
  <c r="K54" i="1"/>
  <c r="J54" i="1"/>
  <c r="F54" i="1"/>
  <c r="E54" i="1"/>
  <c r="P53" i="1"/>
  <c r="M53" i="1"/>
  <c r="L53" i="1"/>
  <c r="K53" i="1"/>
  <c r="J53" i="1"/>
  <c r="F53" i="1"/>
  <c r="E53" i="1"/>
  <c r="P52" i="1"/>
  <c r="M52" i="1"/>
  <c r="L52" i="1"/>
  <c r="K52" i="1"/>
  <c r="J52" i="1"/>
  <c r="F52" i="1"/>
  <c r="E52" i="1"/>
  <c r="P51" i="1"/>
  <c r="M51" i="1"/>
  <c r="L51" i="1"/>
  <c r="K51" i="1"/>
  <c r="J51" i="1"/>
  <c r="F51" i="1"/>
  <c r="E51" i="1"/>
  <c r="P50" i="1"/>
  <c r="M50" i="1"/>
  <c r="L50" i="1"/>
  <c r="K50" i="1"/>
  <c r="J50" i="1"/>
  <c r="F50" i="1"/>
  <c r="E50" i="1"/>
  <c r="P49" i="1"/>
  <c r="M49" i="1"/>
  <c r="L49" i="1"/>
  <c r="K49" i="1"/>
  <c r="J49" i="1"/>
  <c r="F49" i="1"/>
  <c r="E49" i="1"/>
  <c r="P48" i="1"/>
  <c r="M48" i="1"/>
  <c r="L48" i="1"/>
  <c r="K48" i="1"/>
  <c r="J48" i="1"/>
  <c r="F48" i="1"/>
  <c r="E48" i="1"/>
  <c r="P47" i="1"/>
  <c r="M47" i="1"/>
  <c r="L47" i="1"/>
  <c r="K47" i="1"/>
  <c r="J47" i="1"/>
  <c r="R47" i="1" s="1"/>
  <c r="F47" i="1"/>
  <c r="E47" i="1"/>
  <c r="P46" i="1"/>
  <c r="M46" i="1"/>
  <c r="L46" i="1"/>
  <c r="K46" i="1"/>
  <c r="J46" i="1"/>
  <c r="F46" i="1"/>
  <c r="E46" i="1"/>
  <c r="P45" i="1"/>
  <c r="M45" i="1"/>
  <c r="L45" i="1"/>
  <c r="K45" i="1"/>
  <c r="J45" i="1"/>
  <c r="F45" i="1"/>
  <c r="E45" i="1"/>
  <c r="P44" i="1"/>
  <c r="M44" i="1"/>
  <c r="L44" i="1"/>
  <c r="K44" i="1"/>
  <c r="J44" i="1"/>
  <c r="F44" i="1"/>
  <c r="E44" i="1"/>
  <c r="P43" i="1"/>
  <c r="M43" i="1"/>
  <c r="L43" i="1"/>
  <c r="K43" i="1"/>
  <c r="J43" i="1"/>
  <c r="F43" i="1"/>
  <c r="E43" i="1"/>
  <c r="P42" i="1"/>
  <c r="M42" i="1"/>
  <c r="L42" i="1"/>
  <c r="K42" i="1"/>
  <c r="J42" i="1"/>
  <c r="F42" i="1"/>
  <c r="E42" i="1"/>
  <c r="P41" i="1"/>
  <c r="M41" i="1"/>
  <c r="L41" i="1"/>
  <c r="K41" i="1"/>
  <c r="J41" i="1"/>
  <c r="F41" i="1"/>
  <c r="E41" i="1"/>
  <c r="P40" i="1"/>
  <c r="M40" i="1"/>
  <c r="L40" i="1"/>
  <c r="K40" i="1"/>
  <c r="J40" i="1"/>
  <c r="F40" i="1"/>
  <c r="E40" i="1"/>
  <c r="P39" i="1"/>
  <c r="M39" i="1"/>
  <c r="L39" i="1"/>
  <c r="K39" i="1"/>
  <c r="J39" i="1"/>
  <c r="F39" i="1"/>
  <c r="E39" i="1"/>
  <c r="P38" i="1"/>
  <c r="M38" i="1"/>
  <c r="L38" i="1"/>
  <c r="K38" i="1"/>
  <c r="J38" i="1"/>
  <c r="F38" i="1"/>
  <c r="E38" i="1"/>
  <c r="P37" i="1"/>
  <c r="M37" i="1"/>
  <c r="L37" i="1"/>
  <c r="K37" i="1"/>
  <c r="J37" i="1"/>
  <c r="F37" i="1"/>
  <c r="E37" i="1"/>
  <c r="P36" i="1"/>
  <c r="M36" i="1"/>
  <c r="L36" i="1"/>
  <c r="K36" i="1"/>
  <c r="J36" i="1"/>
  <c r="F36" i="1"/>
  <c r="E36" i="1"/>
  <c r="P35" i="1"/>
  <c r="M35" i="1"/>
  <c r="L35" i="1"/>
  <c r="K35" i="1"/>
  <c r="J35" i="1"/>
  <c r="F35" i="1"/>
  <c r="E35" i="1"/>
  <c r="P34" i="1"/>
  <c r="M34" i="1"/>
  <c r="L34" i="1"/>
  <c r="K34" i="1"/>
  <c r="J34" i="1"/>
  <c r="F34" i="1"/>
  <c r="E34" i="1"/>
  <c r="P33" i="1"/>
  <c r="M33" i="1"/>
  <c r="L33" i="1"/>
  <c r="K33" i="1"/>
  <c r="J33" i="1"/>
  <c r="F33" i="1"/>
  <c r="E33" i="1"/>
  <c r="P32" i="1"/>
  <c r="M32" i="1"/>
  <c r="L32" i="1"/>
  <c r="K32" i="1"/>
  <c r="J32" i="1"/>
  <c r="F32" i="1"/>
  <c r="E32" i="1"/>
  <c r="P31" i="1"/>
  <c r="M31" i="1"/>
  <c r="L31" i="1"/>
  <c r="K31" i="1"/>
  <c r="J31" i="1"/>
  <c r="F31" i="1"/>
  <c r="E31" i="1"/>
  <c r="P30" i="1"/>
  <c r="M30" i="1"/>
  <c r="L30" i="1"/>
  <c r="K30" i="1"/>
  <c r="J30" i="1"/>
  <c r="F30" i="1"/>
  <c r="E30" i="1"/>
  <c r="P29" i="1"/>
  <c r="M29" i="1"/>
  <c r="L29" i="1"/>
  <c r="K29" i="1"/>
  <c r="J29" i="1"/>
  <c r="F29" i="1"/>
  <c r="E29" i="1"/>
  <c r="P28" i="1"/>
  <c r="M28" i="1"/>
  <c r="L28" i="1"/>
  <c r="K28" i="1"/>
  <c r="J28" i="1"/>
  <c r="F28" i="1"/>
  <c r="E28" i="1"/>
  <c r="P27" i="1"/>
  <c r="M27" i="1"/>
  <c r="L27" i="1"/>
  <c r="K27" i="1"/>
  <c r="J27" i="1"/>
  <c r="F27" i="1"/>
  <c r="E27" i="1"/>
  <c r="P26" i="1"/>
  <c r="M26" i="1"/>
  <c r="L26" i="1"/>
  <c r="K26" i="1"/>
  <c r="R26" i="1" s="1"/>
  <c r="J26" i="1"/>
  <c r="F26" i="1"/>
  <c r="E26" i="1"/>
  <c r="P25" i="1"/>
  <c r="M25" i="1"/>
  <c r="L25" i="1"/>
  <c r="K25" i="1"/>
  <c r="J25" i="1"/>
  <c r="F25" i="1"/>
  <c r="E25" i="1"/>
  <c r="P24" i="1"/>
  <c r="M24" i="1"/>
  <c r="L24" i="1"/>
  <c r="K24" i="1"/>
  <c r="J24" i="1"/>
  <c r="F24" i="1"/>
  <c r="E24" i="1"/>
  <c r="P23" i="1"/>
  <c r="M23" i="1"/>
  <c r="L23" i="1"/>
  <c r="K23" i="1"/>
  <c r="J23" i="1"/>
  <c r="F23" i="1"/>
  <c r="E23" i="1"/>
  <c r="P22" i="1"/>
  <c r="M22" i="1"/>
  <c r="L22" i="1"/>
  <c r="K22" i="1"/>
  <c r="R22" i="1" s="1"/>
  <c r="J22" i="1"/>
  <c r="F22" i="1"/>
  <c r="E22" i="1"/>
  <c r="P21" i="1"/>
  <c r="M21" i="1"/>
  <c r="L21" i="1"/>
  <c r="K21" i="1"/>
  <c r="J21" i="1"/>
  <c r="F21" i="1"/>
  <c r="E21" i="1"/>
  <c r="P20" i="1"/>
  <c r="M20" i="1"/>
  <c r="L20" i="1"/>
  <c r="K20" i="1"/>
  <c r="J20" i="1"/>
  <c r="F20" i="1"/>
  <c r="E20" i="1"/>
  <c r="P19" i="1"/>
  <c r="M19" i="1"/>
  <c r="L19" i="1"/>
  <c r="K19" i="1"/>
  <c r="J19" i="1"/>
  <c r="F19" i="1"/>
  <c r="E19" i="1"/>
  <c r="P18" i="1"/>
  <c r="M18" i="1"/>
  <c r="L18" i="1"/>
  <c r="K18" i="1"/>
  <c r="R18" i="1" s="1"/>
  <c r="J18" i="1"/>
  <c r="F18" i="1"/>
  <c r="E18" i="1"/>
  <c r="P17" i="1"/>
  <c r="M17" i="1"/>
  <c r="L17" i="1"/>
  <c r="K17" i="1"/>
  <c r="J17" i="1"/>
  <c r="F17" i="1"/>
  <c r="E17" i="1"/>
  <c r="P16" i="1"/>
  <c r="M16" i="1"/>
  <c r="L16" i="1"/>
  <c r="K16" i="1"/>
  <c r="J16" i="1"/>
  <c r="F16" i="1"/>
  <c r="E16" i="1"/>
  <c r="P15" i="1"/>
  <c r="M15" i="1"/>
  <c r="L15" i="1"/>
  <c r="K15" i="1"/>
  <c r="J15" i="1"/>
  <c r="F15" i="1"/>
  <c r="E15" i="1"/>
  <c r="P14" i="1"/>
  <c r="M14" i="1"/>
  <c r="L14" i="1"/>
  <c r="K14" i="1"/>
  <c r="J14" i="1"/>
  <c r="F14" i="1"/>
  <c r="E14" i="1"/>
  <c r="P13" i="1"/>
  <c r="M13" i="1"/>
  <c r="L13" i="1"/>
  <c r="K13" i="1"/>
  <c r="J13" i="1"/>
  <c r="F13" i="1"/>
  <c r="E13" i="1"/>
  <c r="P12" i="1"/>
  <c r="M12" i="1"/>
  <c r="L12" i="1"/>
  <c r="K12" i="1"/>
  <c r="J12" i="1"/>
  <c r="F12" i="1"/>
  <c r="E12" i="1"/>
  <c r="P11" i="1"/>
  <c r="M11" i="1"/>
  <c r="L11" i="1"/>
  <c r="K11" i="1"/>
  <c r="J11" i="1"/>
  <c r="F11" i="1"/>
  <c r="E11" i="1"/>
  <c r="P10" i="1"/>
  <c r="M10" i="1"/>
  <c r="L10" i="1"/>
  <c r="K10" i="1"/>
  <c r="J10" i="1"/>
  <c r="F10" i="1"/>
  <c r="E10" i="1"/>
  <c r="P9" i="1"/>
  <c r="M9" i="1"/>
  <c r="L9" i="1"/>
  <c r="K9" i="1"/>
  <c r="J9" i="1"/>
  <c r="F9" i="1"/>
  <c r="E9" i="1"/>
  <c r="P8" i="1"/>
  <c r="M8" i="1"/>
  <c r="L8" i="1"/>
  <c r="K8" i="1"/>
  <c r="J8" i="1"/>
  <c r="F8" i="1"/>
  <c r="E8" i="1"/>
  <c r="P7" i="1"/>
  <c r="M7" i="1"/>
  <c r="L7" i="1"/>
  <c r="K7" i="1"/>
  <c r="J7" i="1"/>
  <c r="F7" i="1"/>
  <c r="E7" i="1"/>
  <c r="P6" i="1"/>
  <c r="M6" i="1"/>
  <c r="L6" i="1"/>
  <c r="K6" i="1"/>
  <c r="J6" i="1"/>
  <c r="F6" i="1"/>
  <c r="E6" i="1"/>
  <c r="P5" i="1"/>
  <c r="M5" i="1"/>
  <c r="L5" i="1"/>
  <c r="K5" i="1"/>
  <c r="J5" i="1"/>
  <c r="F5" i="1"/>
  <c r="E5" i="1"/>
  <c r="P4" i="1"/>
  <c r="M4" i="1"/>
  <c r="L4" i="1"/>
  <c r="K4" i="1"/>
  <c r="J4" i="1"/>
  <c r="F4" i="1"/>
  <c r="E4" i="1"/>
  <c r="P3" i="1"/>
  <c r="M3" i="1"/>
  <c r="L3" i="1"/>
  <c r="K3" i="1"/>
  <c r="J3" i="1"/>
  <c r="F3" i="1"/>
  <c r="E3" i="1"/>
  <c r="P2" i="1"/>
  <c r="M2" i="1"/>
  <c r="L2" i="1"/>
  <c r="K2" i="1"/>
  <c r="R2" i="1" s="1"/>
  <c r="J2" i="1"/>
  <c r="F2" i="1"/>
  <c r="E2" i="1"/>
  <c r="P1" i="1"/>
  <c r="M1" i="1"/>
  <c r="L1" i="1"/>
  <c r="K1" i="1"/>
  <c r="J1" i="1"/>
  <c r="F1" i="1"/>
  <c r="E1" i="1"/>
  <c r="R29" i="1" l="1"/>
  <c r="R37" i="1"/>
  <c r="R9" i="1"/>
  <c r="R17" i="1"/>
  <c r="R41" i="1"/>
  <c r="R58" i="1"/>
  <c r="R62" i="1"/>
  <c r="R66" i="1"/>
  <c r="R73" i="1"/>
  <c r="R102" i="1"/>
  <c r="R121" i="1"/>
  <c r="R126" i="1"/>
  <c r="R129" i="1"/>
  <c r="R138" i="1"/>
  <c r="R146" i="1"/>
  <c r="R154" i="1"/>
  <c r="R170" i="1"/>
  <c r="R178" i="1"/>
  <c r="R186" i="1"/>
  <c r="R194" i="1"/>
  <c r="R202" i="1"/>
  <c r="R205" i="1"/>
  <c r="R209" i="1"/>
  <c r="R218" i="1"/>
  <c r="R237" i="1"/>
  <c r="R250" i="1"/>
  <c r="R258" i="1"/>
  <c r="R262" i="1"/>
  <c r="R265" i="1"/>
  <c r="R269" i="1"/>
  <c r="R3" i="1"/>
  <c r="R12" i="1"/>
  <c r="R16" i="1"/>
  <c r="R36" i="1"/>
  <c r="R49" i="1"/>
  <c r="R53" i="1"/>
  <c r="R57" i="1"/>
  <c r="R65" i="1"/>
  <c r="R68" i="1"/>
  <c r="R72" i="1"/>
  <c r="R77" i="1"/>
  <c r="R85" i="1"/>
  <c r="R89" i="1"/>
  <c r="R97" i="1"/>
  <c r="R100" i="1"/>
  <c r="R109" i="1"/>
  <c r="R117" i="1"/>
  <c r="R128" i="1"/>
  <c r="R137" i="1"/>
  <c r="R145" i="1"/>
  <c r="R149" i="1"/>
  <c r="R153" i="1"/>
  <c r="R157" i="1"/>
  <c r="R164" i="1"/>
  <c r="R169" i="1"/>
  <c r="R172" i="1"/>
  <c r="R176" i="1"/>
  <c r="R185" i="1"/>
  <c r="R189" i="1"/>
  <c r="R192" i="1"/>
  <c r="R213" i="1"/>
  <c r="R221" i="1"/>
  <c r="R229" i="1"/>
  <c r="R233" i="1"/>
  <c r="R236" i="1"/>
  <c r="R241" i="1"/>
  <c r="R245" i="1"/>
  <c r="R249" i="1"/>
  <c r="R253" i="1"/>
  <c r="R256" i="1"/>
  <c r="R260" i="1"/>
  <c r="R6" i="1"/>
  <c r="R14" i="1"/>
  <c r="R27" i="1"/>
  <c r="R31" i="1"/>
  <c r="R34" i="1"/>
  <c r="R43" i="1"/>
  <c r="R48" i="1"/>
  <c r="R76" i="1"/>
  <c r="R84" i="1"/>
  <c r="R91" i="1"/>
  <c r="R95" i="1"/>
  <c r="R108" i="1"/>
  <c r="R112" i="1"/>
  <c r="R116" i="1"/>
  <c r="R124" i="1"/>
  <c r="R132" i="1"/>
  <c r="R135" i="1"/>
  <c r="R144" i="1"/>
  <c r="R148" i="1"/>
  <c r="R152" i="1"/>
  <c r="R156" i="1"/>
  <c r="R160" i="1"/>
  <c r="R167" i="1"/>
  <c r="R171" i="1"/>
  <c r="R175" i="1"/>
  <c r="R179" i="1"/>
  <c r="R183" i="1"/>
  <c r="R191" i="1"/>
  <c r="R196" i="1"/>
  <c r="R200" i="1"/>
  <c r="R208" i="1"/>
  <c r="R212" i="1"/>
  <c r="R216" i="1"/>
  <c r="R224" i="1"/>
  <c r="R228" i="1"/>
  <c r="R240" i="1"/>
  <c r="R243" i="1"/>
  <c r="R247" i="1"/>
  <c r="R255" i="1"/>
  <c r="R259" i="1"/>
  <c r="R268" i="1"/>
  <c r="R10" i="1"/>
  <c r="R28" i="1"/>
  <c r="R61" i="1"/>
  <c r="R5" i="1"/>
  <c r="R4" i="1"/>
  <c r="R7" i="1"/>
  <c r="R32" i="1"/>
  <c r="R44" i="1"/>
  <c r="R70" i="1"/>
  <c r="R80" i="1"/>
  <c r="R1" i="1"/>
  <c r="R11" i="1"/>
  <c r="R13" i="1"/>
  <c r="R20" i="1"/>
  <c r="R24" i="1"/>
  <c r="R33" i="1"/>
  <c r="R39" i="1"/>
  <c r="R45" i="1"/>
  <c r="R51" i="1"/>
  <c r="R55" i="1"/>
  <c r="R63" i="1"/>
  <c r="R71" i="1"/>
  <c r="R81" i="1"/>
  <c r="R87" i="1"/>
  <c r="R93" i="1"/>
  <c r="R99" i="1"/>
  <c r="R105" i="1"/>
  <c r="R113" i="1"/>
  <c r="R120" i="1"/>
  <c r="R127" i="1"/>
  <c r="R134" i="1"/>
  <c r="R141" i="1"/>
  <c r="R150" i="1"/>
  <c r="R161" i="1"/>
  <c r="R166" i="1"/>
  <c r="R174" i="1"/>
  <c r="R181" i="1"/>
  <c r="R190" i="1"/>
  <c r="R198" i="1"/>
  <c r="R204" i="1"/>
  <c r="R214" i="1"/>
  <c r="R219" i="1"/>
  <c r="R225" i="1"/>
  <c r="R231" i="1"/>
  <c r="R235" i="1"/>
  <c r="R246" i="1"/>
  <c r="R254" i="1"/>
  <c r="R264" i="1"/>
  <c r="R274" i="1"/>
  <c r="R278" i="1"/>
  <c r="R282" i="1"/>
  <c r="R286" i="1"/>
  <c r="R290" i="1"/>
  <c r="R294" i="1"/>
  <c r="R298" i="1"/>
  <c r="R302" i="1"/>
  <c r="R306" i="1"/>
  <c r="R310" i="1"/>
  <c r="R314" i="1"/>
  <c r="R318" i="1"/>
  <c r="R322" i="1"/>
  <c r="R326" i="1"/>
  <c r="R330" i="1"/>
  <c r="R334" i="1"/>
  <c r="R338" i="1"/>
  <c r="R342" i="1"/>
  <c r="R346" i="1"/>
  <c r="R350" i="1"/>
  <c r="R19" i="1"/>
  <c r="R23" i="1"/>
  <c r="R30" i="1"/>
  <c r="R38" i="1"/>
  <c r="R42" i="1"/>
  <c r="R50" i="1"/>
  <c r="R54" i="1"/>
  <c r="R60" i="1"/>
  <c r="R69" i="1"/>
  <c r="R79" i="1"/>
  <c r="R86" i="1"/>
  <c r="R92" i="1"/>
  <c r="R98" i="1"/>
  <c r="R104" i="1"/>
  <c r="R110" i="1"/>
  <c r="R118" i="1"/>
  <c r="R125" i="1"/>
  <c r="R133" i="1"/>
  <c r="R140" i="1"/>
  <c r="R147" i="1"/>
  <c r="R158" i="1"/>
  <c r="R165" i="1"/>
  <c r="R173" i="1"/>
  <c r="R180" i="1"/>
  <c r="R188" i="1"/>
  <c r="R197" i="1"/>
  <c r="R201" i="1"/>
  <c r="R211" i="1"/>
  <c r="R217" i="1"/>
  <c r="R222" i="1"/>
  <c r="R230" i="1"/>
  <c r="R234" i="1"/>
  <c r="R244" i="1"/>
  <c r="R252" i="1"/>
  <c r="R261" i="1"/>
  <c r="R270" i="1"/>
  <c r="R8" i="1"/>
  <c r="R15" i="1"/>
  <c r="R21" i="1"/>
  <c r="R25" i="1"/>
  <c r="R35" i="1"/>
  <c r="R40" i="1"/>
  <c r="R46" i="1"/>
  <c r="R52" i="1"/>
  <c r="R56" i="1"/>
  <c r="R64" i="1"/>
  <c r="R74" i="1"/>
  <c r="R82" i="1"/>
  <c r="R88" i="1"/>
  <c r="R96" i="1"/>
  <c r="R101" i="1"/>
  <c r="R106" i="1"/>
  <c r="R114" i="1"/>
  <c r="R122" i="1"/>
  <c r="R130" i="1"/>
  <c r="R136" i="1"/>
  <c r="R143" i="1"/>
  <c r="R151" i="1"/>
  <c r="R162" i="1"/>
  <c r="R168" i="1"/>
  <c r="R177" i="1"/>
  <c r="R184" i="1"/>
  <c r="R193" i="1"/>
  <c r="R199" i="1"/>
  <c r="R207" i="1"/>
  <c r="R215" i="1"/>
  <c r="R220" i="1"/>
  <c r="R227" i="1"/>
  <c r="R232" i="1"/>
  <c r="R238" i="1"/>
  <c r="R248" i="1"/>
  <c r="R257" i="1"/>
  <c r="R267" i="1"/>
  <c r="R273" i="1"/>
  <c r="R277" i="1"/>
  <c r="R281" i="1"/>
  <c r="R285" i="1"/>
  <c r="R289" i="1"/>
  <c r="R293" i="1"/>
  <c r="R297" i="1"/>
  <c r="R301" i="1"/>
  <c r="R305" i="1"/>
  <c r="R309" i="1"/>
  <c r="R313" i="1"/>
  <c r="R317" i="1"/>
  <c r="R321" i="1"/>
  <c r="R325" i="1"/>
  <c r="R329" i="1"/>
  <c r="R333" i="1"/>
  <c r="R337" i="1"/>
  <c r="R341" i="1"/>
  <c r="R345" i="1"/>
  <c r="R349" i="1"/>
  <c r="R353" i="1"/>
  <c r="R272" i="1"/>
  <c r="R276" i="1"/>
  <c r="R280" i="1"/>
  <c r="R284" i="1"/>
  <c r="R288" i="1"/>
  <c r="R292" i="1"/>
  <c r="R296" i="1"/>
  <c r="R300" i="1"/>
  <c r="R304" i="1"/>
  <c r="R308" i="1"/>
  <c r="R312" i="1"/>
  <c r="R316" i="1"/>
  <c r="R320" i="1"/>
  <c r="R324" i="1"/>
  <c r="R328" i="1"/>
  <c r="R332" i="1"/>
  <c r="R336" i="1"/>
  <c r="R340" i="1"/>
  <c r="R344" i="1"/>
  <c r="R348" i="1"/>
  <c r="R352" i="1"/>
  <c r="R271" i="1"/>
  <c r="R275" i="1"/>
  <c r="R279" i="1"/>
  <c r="R283" i="1"/>
  <c r="R287" i="1"/>
  <c r="R291" i="1"/>
  <c r="R295" i="1"/>
  <c r="R299" i="1"/>
  <c r="R303" i="1"/>
  <c r="R307" i="1"/>
  <c r="R311" i="1"/>
  <c r="R315" i="1"/>
  <c r="R319" i="1"/>
  <c r="R323" i="1"/>
  <c r="R327" i="1"/>
  <c r="R331" i="1"/>
  <c r="R335" i="1"/>
  <c r="R339" i="1"/>
  <c r="R343" i="1"/>
  <c r="R347" i="1"/>
  <c r="R351" i="1"/>
  <c r="R355" i="1"/>
</calcChain>
</file>

<file path=xl/sharedStrings.xml><?xml version="1.0" encoding="utf-8"?>
<sst xmlns="http://schemas.openxmlformats.org/spreadsheetml/2006/main" count="2448" uniqueCount="1927">
  <si>
    <t>XF45770</t>
  </si>
  <si>
    <t>Masero</t>
  </si>
  <si>
    <t>Livio</t>
  </si>
  <si>
    <t>+39 320 299 4699</t>
  </si>
  <si>
    <t>+390131316251</t>
  </si>
  <si>
    <t>l.masero@inail.it</t>
  </si>
  <si>
    <t>0</t>
  </si>
  <si>
    <t>XF46605</t>
  </si>
  <si>
    <t>Prete</t>
  </si>
  <si>
    <t>Valeria</t>
  </si>
  <si>
    <t>+39 366 936 8820</t>
  </si>
  <si>
    <t>+390131316220</t>
  </si>
  <si>
    <t>v.prete@inail.it</t>
  </si>
  <si>
    <t>XF46690</t>
  </si>
  <si>
    <t>Urso</t>
  </si>
  <si>
    <t>Angelo</t>
  </si>
  <si>
    <t>+39 366 936 8837</t>
  </si>
  <si>
    <t>+390131316263</t>
  </si>
  <si>
    <t>a.urso@inail.it</t>
  </si>
  <si>
    <t>XF45497</t>
  </si>
  <si>
    <t>Conta</t>
  </si>
  <si>
    <t>Germano</t>
  </si>
  <si>
    <t>+39 320 299 4675</t>
  </si>
  <si>
    <t>+390131316266</t>
  </si>
  <si>
    <t>g.conta@inail.it</t>
  </si>
  <si>
    <t>XF45560</t>
  </si>
  <si>
    <t>Dente</t>
  </si>
  <si>
    <t>Sabrina</t>
  </si>
  <si>
    <t>+39 366 936 7677</t>
  </si>
  <si>
    <t>+390131316249</t>
  </si>
  <si>
    <t>s.dente@inail.it</t>
  </si>
  <si>
    <t>XF46437</t>
  </si>
  <si>
    <t>Forlini</t>
  </si>
  <si>
    <t>Ornella</t>
  </si>
  <si>
    <t>+39 366 936 8786</t>
  </si>
  <si>
    <t>+390131316265</t>
  </si>
  <si>
    <t>o.forlini@inail.it</t>
  </si>
  <si>
    <t>XF45482</t>
  </si>
  <si>
    <t>Cionchi</t>
  </si>
  <si>
    <t>Daniele</t>
  </si>
  <si>
    <t>+39 335 126 2800</t>
  </si>
  <si>
    <t>+390712273232</t>
  </si>
  <si>
    <t>d.cionchi@inail.it</t>
  </si>
  <si>
    <t>XF46316</t>
  </si>
  <si>
    <t>Carbonari</t>
  </si>
  <si>
    <t>Damiano</t>
  </si>
  <si>
    <t>+39 335 102 4973</t>
  </si>
  <si>
    <t>+390712273265</t>
  </si>
  <si>
    <t>d.carbonari@inail.it</t>
  </si>
  <si>
    <t>XF45890</t>
  </si>
  <si>
    <t>Piracci</t>
  </si>
  <si>
    <t>Fernando</t>
  </si>
  <si>
    <t>+39 366 934 8249</t>
  </si>
  <si>
    <t>+390712273475</t>
  </si>
  <si>
    <t>f.piracci@inail.it</t>
  </si>
  <si>
    <t>XF45658</t>
  </si>
  <si>
    <t>Giraldi</t>
  </si>
  <si>
    <t>Roberto</t>
  </si>
  <si>
    <t>+39 366 934 8252</t>
  </si>
  <si>
    <t>+390712273215</t>
  </si>
  <si>
    <t>r.giraldi@inail.it</t>
  </si>
  <si>
    <t>XF45572</t>
  </si>
  <si>
    <t>Di Grazia</t>
  </si>
  <si>
    <t>Francesco</t>
  </si>
  <si>
    <t>+39 335 103 5863</t>
  </si>
  <si>
    <t>+390712273231</t>
  </si>
  <si>
    <t>f.digrazia@inail.it</t>
  </si>
  <si>
    <t>XF45690</t>
  </si>
  <si>
    <t>Infortuna</t>
  </si>
  <si>
    <t>Paolo</t>
  </si>
  <si>
    <t>+39 320 299 4667</t>
  </si>
  <si>
    <t>+390115593977</t>
  </si>
  <si>
    <t>p.infortuna@inail.it</t>
  </si>
  <si>
    <t>XF45884</t>
  </si>
  <si>
    <t>Piccolo</t>
  </si>
  <si>
    <t>Carmine</t>
  </si>
  <si>
    <t>+39 320 299 4715</t>
  </si>
  <si>
    <t>+390825294237</t>
  </si>
  <si>
    <t>c.piccolo@inail.it</t>
  </si>
  <si>
    <t>XF45377</t>
  </si>
  <si>
    <t>Battista</t>
  </si>
  <si>
    <t>Gaetano</t>
  </si>
  <si>
    <t>+39 366 639 0385</t>
  </si>
  <si>
    <t>+390825294252</t>
  </si>
  <si>
    <t>g.battista@inail.it</t>
  </si>
  <si>
    <t>XF45548</t>
  </si>
  <si>
    <t>De Toro</t>
  </si>
  <si>
    <t>Claudio</t>
  </si>
  <si>
    <t>+39 360 108 0091</t>
  </si>
  <si>
    <t>+390824353362</t>
  </si>
  <si>
    <t>c.detoro@inail.it</t>
  </si>
  <si>
    <t>XF45551</t>
  </si>
  <si>
    <t>Del Gaudio</t>
  </si>
  <si>
    <t>Michele</t>
  </si>
  <si>
    <t>+39 366 639 0356</t>
  </si>
  <si>
    <t>+390825294227</t>
  </si>
  <si>
    <t>m.delgaudio@inail.it</t>
  </si>
  <si>
    <t>XF46455</t>
  </si>
  <si>
    <t>Gatto</t>
  </si>
  <si>
    <t>Maria Pia</t>
  </si>
  <si>
    <t>+39 335 126 5048</t>
  </si>
  <si>
    <t>+390694181330</t>
  </si>
  <si>
    <t>mp.gatto@inail.it</t>
  </si>
  <si>
    <t>XF46382</t>
  </si>
  <si>
    <t>Di Donato</t>
  </si>
  <si>
    <t>Olga</t>
  </si>
  <si>
    <t>+39 366 639 0354</t>
  </si>
  <si>
    <t>o.didonato@inail.it</t>
  </si>
  <si>
    <t>XF46548</t>
  </si>
  <si>
    <t>Modestino</t>
  </si>
  <si>
    <t>Raffaella</t>
  </si>
  <si>
    <t>+39 339 876 8543</t>
  </si>
  <si>
    <t>r.modestino@inail.it</t>
  </si>
  <si>
    <t>XF45992</t>
  </si>
  <si>
    <t>Selvestrini</t>
  </si>
  <si>
    <t>Gennaro</t>
  </si>
  <si>
    <t>+39 335 194 9199</t>
  </si>
  <si>
    <t>g.selvestrini@inail.it</t>
  </si>
  <si>
    <t>XF46018</t>
  </si>
  <si>
    <t>Spagnuolo</t>
  </si>
  <si>
    <t>Ersilio</t>
  </si>
  <si>
    <t>+39 335 642 0692</t>
  </si>
  <si>
    <t>e.spagnuolo@inail.it</t>
  </si>
  <si>
    <t>XF46089</t>
  </si>
  <si>
    <t>Viola</t>
  </si>
  <si>
    <t>+39 335 192 8790</t>
  </si>
  <si>
    <t>+390825294272</t>
  </si>
  <si>
    <t>fr.viola@inail.it</t>
  </si>
  <si>
    <t>XF45357</t>
  </si>
  <si>
    <t>Aversa</t>
  </si>
  <si>
    <t>Giuseppina</t>
  </si>
  <si>
    <t>+39 366 639 0375</t>
  </si>
  <si>
    <t>g.aversa@inail.it</t>
  </si>
  <si>
    <t>XF46304</t>
  </si>
  <si>
    <t>Campitelli</t>
  </si>
  <si>
    <t>Ida</t>
  </si>
  <si>
    <t>+39 360 108 0360</t>
  </si>
  <si>
    <t>i.campitelli@inail.it</t>
  </si>
  <si>
    <t>XF46367</t>
  </si>
  <si>
    <t>De Cristofaro</t>
  </si>
  <si>
    <t>Antonella</t>
  </si>
  <si>
    <t>+39 339 876 8532</t>
  </si>
  <si>
    <t>a.decristofaro@inail.it</t>
  </si>
  <si>
    <t>XF46389</t>
  </si>
  <si>
    <t>Di Leo</t>
  </si>
  <si>
    <t>Renata</t>
  </si>
  <si>
    <t>+39 339 876 8540</t>
  </si>
  <si>
    <t>r.dileo@inail.it</t>
  </si>
  <si>
    <t>XF45382</t>
  </si>
  <si>
    <t>Belardi</t>
  </si>
  <si>
    <t>Pietro</t>
  </si>
  <si>
    <t>+39 335 190 6021</t>
  </si>
  <si>
    <t>p.belardi@inail.it</t>
  </si>
  <si>
    <t>XF45635</t>
  </si>
  <si>
    <t>Gaita</t>
  </si>
  <si>
    <t>Marzio</t>
  </si>
  <si>
    <t>+39 366 639 0346</t>
  </si>
  <si>
    <t>m.gaita@inail.it</t>
  </si>
  <si>
    <t>XF46070</t>
  </si>
  <si>
    <t>Urciuoli</t>
  </si>
  <si>
    <t>Enrico</t>
  </si>
  <si>
    <t>+39 366 639 0336</t>
  </si>
  <si>
    <t>e.urciuoli@inail.it</t>
  </si>
  <si>
    <t>XF45735</t>
  </si>
  <si>
    <t>Luciano</t>
  </si>
  <si>
    <t>Rossella</t>
  </si>
  <si>
    <t>+39 335 810 1185</t>
  </si>
  <si>
    <t>r.luciano@inail.it</t>
  </si>
  <si>
    <t>XF45963</t>
  </si>
  <si>
    <t>Sallustio</t>
  </si>
  <si>
    <t>Danilo</t>
  </si>
  <si>
    <t>+39 335 731 7848</t>
  </si>
  <si>
    <t>+390805436471</t>
  </si>
  <si>
    <t>d.sallustio@inail.it</t>
  </si>
  <si>
    <t>XF45490</t>
  </si>
  <si>
    <t>Colaprico</t>
  </si>
  <si>
    <t>+39 366 669 8185</t>
  </si>
  <si>
    <t>+390805436452</t>
  </si>
  <si>
    <t>a.colaprico@inail.it</t>
  </si>
  <si>
    <t>XF45536</t>
  </si>
  <si>
    <t>De Gennaro</t>
  </si>
  <si>
    <t>Giuseppe</t>
  </si>
  <si>
    <t>+39 335 199 7136</t>
  </si>
  <si>
    <t>+390805436453</t>
  </si>
  <si>
    <t>g.degennaro@inail.it</t>
  </si>
  <si>
    <t>XF45717</t>
  </si>
  <si>
    <t>Lionetti</t>
  </si>
  <si>
    <t>Raffaele</t>
  </si>
  <si>
    <t>+39 335 199 7179</t>
  </si>
  <si>
    <t>+390805436455</t>
  </si>
  <si>
    <t>ra.lionetti@inail.it</t>
  </si>
  <si>
    <t>XF45824</t>
  </si>
  <si>
    <t>Nigri</t>
  </si>
  <si>
    <t>Francesco Paolo</t>
  </si>
  <si>
    <t>+39 335 717 5050</t>
  </si>
  <si>
    <t>+390805436457</t>
  </si>
  <si>
    <t>f.nigri@inail.it</t>
  </si>
  <si>
    <t>XF45988</t>
  </si>
  <si>
    <t>Sciancalepore</t>
  </si>
  <si>
    <t>Francesco Antonio</t>
  </si>
  <si>
    <t>+39 331 670 5427</t>
  </si>
  <si>
    <t>+390805436429</t>
  </si>
  <si>
    <t>f.sciancalepore@inail.it</t>
  </si>
  <si>
    <t>XF45336</t>
  </si>
  <si>
    <t>Altamura</t>
  </si>
  <si>
    <t>Nicola</t>
  </si>
  <si>
    <t>+39 331 698 7586</t>
  </si>
  <si>
    <t>+390805436450</t>
  </si>
  <si>
    <t>n.altamura@inail.it</t>
  </si>
  <si>
    <t>XF45721</t>
  </si>
  <si>
    <t>Lobasso</t>
  </si>
  <si>
    <t>Francesca</t>
  </si>
  <si>
    <t>+39 338 653 1176</t>
  </si>
  <si>
    <t>f.lobasso@inail.it</t>
  </si>
  <si>
    <t>XF45352</t>
  </si>
  <si>
    <t>Armenise</t>
  </si>
  <si>
    <t>Maurizio</t>
  </si>
  <si>
    <t>+39 335 831 0169</t>
  </si>
  <si>
    <t>+390805436463</t>
  </si>
  <si>
    <t>m.armenise@inail.it</t>
  </si>
  <si>
    <t>XF46370</t>
  </si>
  <si>
    <t>De Musso</t>
  </si>
  <si>
    <t>Maria</t>
  </si>
  <si>
    <t>+39 335 199 7148</t>
  </si>
  <si>
    <t>+390805436454</t>
  </si>
  <si>
    <t>m.demusso@inail.it</t>
  </si>
  <si>
    <t>XF46373</t>
  </si>
  <si>
    <t>De Sandre</t>
  </si>
  <si>
    <t>Annamaria</t>
  </si>
  <si>
    <t>+39 338 500 7917</t>
  </si>
  <si>
    <t>+390805436464</t>
  </si>
  <si>
    <t>a.desandre@inail.it</t>
  </si>
  <si>
    <t>XF46687</t>
  </si>
  <si>
    <t>Turi</t>
  </si>
  <si>
    <t>Anna</t>
  </si>
  <si>
    <t>+39 366 575 3286</t>
  </si>
  <si>
    <t>+390805436468</t>
  </si>
  <si>
    <t>a.turi@inail.it</t>
  </si>
  <si>
    <t>XF46705</t>
  </si>
  <si>
    <t>Vitale</t>
  </si>
  <si>
    <t>Giovanni</t>
  </si>
  <si>
    <t>+39 366 613 9227</t>
  </si>
  <si>
    <t>+390805436469</t>
  </si>
  <si>
    <t>gi.vitale@inail.it</t>
  </si>
  <si>
    <t>XF45842</t>
  </si>
  <si>
    <t>Paglione</t>
  </si>
  <si>
    <t>+39 338 699 7736</t>
  </si>
  <si>
    <t>+390805436466</t>
  </si>
  <si>
    <t>g.paglione@inail.it</t>
  </si>
  <si>
    <t>XF45932</t>
  </si>
  <si>
    <t>Romanelli</t>
  </si>
  <si>
    <t>+39 335 708 2366</t>
  </si>
  <si>
    <t>+390313329334</t>
  </si>
  <si>
    <t>a.romanelli@inail.it</t>
  </si>
  <si>
    <t>XF45454</t>
  </si>
  <si>
    <t>Casillo</t>
  </si>
  <si>
    <t>Antonio</t>
  </si>
  <si>
    <t>+39 335 618 5762</t>
  </si>
  <si>
    <t>+3935352353</t>
  </si>
  <si>
    <t>a.casillo@inail.it</t>
  </si>
  <si>
    <t>XF45467</t>
  </si>
  <si>
    <t>Ceglia</t>
  </si>
  <si>
    <t>+39 334 629 4145</t>
  </si>
  <si>
    <t>+39035352354</t>
  </si>
  <si>
    <t>g.ceglia@inail.it</t>
  </si>
  <si>
    <t>XF45746</t>
  </si>
  <si>
    <t>Mancuso</t>
  </si>
  <si>
    <t>Donato</t>
  </si>
  <si>
    <t>+39 334 653 5437</t>
  </si>
  <si>
    <t>+3935352356</t>
  </si>
  <si>
    <t>d.mancuso@inail.it</t>
  </si>
  <si>
    <t>XF46598</t>
  </si>
  <si>
    <t>Pistelli</t>
  </si>
  <si>
    <t>+39 334 629 4185</t>
  </si>
  <si>
    <t>+390792084262</t>
  </si>
  <si>
    <t>r.pistelli@inail.it</t>
  </si>
  <si>
    <t>XF45450</t>
  </si>
  <si>
    <t>Carta</t>
  </si>
  <si>
    <t>Roberta</t>
  </si>
  <si>
    <t>+39 334 699 9483</t>
  </si>
  <si>
    <t>+39035352363</t>
  </si>
  <si>
    <t>ro.carta@inail.it</t>
  </si>
  <si>
    <t>XF46581</t>
  </si>
  <si>
    <t>Parsani</t>
  </si>
  <si>
    <t>Monica</t>
  </si>
  <si>
    <t>+39 339 876 7979</t>
  </si>
  <si>
    <t>+39035352361</t>
  </si>
  <si>
    <t>m.parsani@inail.it</t>
  </si>
  <si>
    <t>XF46085</t>
  </si>
  <si>
    <t>Vescovi</t>
  </si>
  <si>
    <t>+39 339 876 7978</t>
  </si>
  <si>
    <t>+39035352360</t>
  </si>
  <si>
    <t>a.vescovi@inail.it</t>
  </si>
  <si>
    <t>XF46074</t>
  </si>
  <si>
    <t>Vacquer</t>
  </si>
  <si>
    <t>Sergio</t>
  </si>
  <si>
    <t>+39 320 299 4669</t>
  </si>
  <si>
    <t>+390153580533</t>
  </si>
  <si>
    <t>s.vacquer@inail.it</t>
  </si>
  <si>
    <t>XF46508</t>
  </si>
  <si>
    <t>Lunardelli</t>
  </si>
  <si>
    <t>+39 320 299 4731</t>
  </si>
  <si>
    <t>+390153580564</t>
  </si>
  <si>
    <t>p.lunardelli@inail.it</t>
  </si>
  <si>
    <t>XF46682</t>
  </si>
  <si>
    <t>Tribaudi</t>
  </si>
  <si>
    <t>Nadia</t>
  </si>
  <si>
    <t>+39 335 632 8656</t>
  </si>
  <si>
    <t>+390153580573</t>
  </si>
  <si>
    <t>n.tribaudi@inail.it</t>
  </si>
  <si>
    <t>XF46468</t>
  </si>
  <si>
    <t>Giurintano</t>
  </si>
  <si>
    <t>Caterina</t>
  </si>
  <si>
    <t>+39 335 807 0305</t>
  </si>
  <si>
    <t>+390153580559</t>
  </si>
  <si>
    <t>c.giurintano@inail.it</t>
  </si>
  <si>
    <t>XF46101</t>
  </si>
  <si>
    <t>Zuccarello</t>
  </si>
  <si>
    <t xml:space="preserve">Giovanni Andrea </t>
  </si>
  <si>
    <t>+39 320 299 4728</t>
  </si>
  <si>
    <t>+390516095422</t>
  </si>
  <si>
    <t>g.zuccarello@inail.it</t>
  </si>
  <si>
    <t>XF46327</t>
  </si>
  <si>
    <t>Cavicchi</t>
  </si>
  <si>
    <t>Luca</t>
  </si>
  <si>
    <t>+39 366 562 3674</t>
  </si>
  <si>
    <t>+390516095410</t>
  </si>
  <si>
    <t>l.cavicchi@inail.it</t>
  </si>
  <si>
    <t>XF48316</t>
  </si>
  <si>
    <t>De Nicola</t>
  </si>
  <si>
    <t>+39 366 565 5923</t>
  </si>
  <si>
    <t>+390516095254</t>
  </si>
  <si>
    <t>r.denicola@inail.it</t>
  </si>
  <si>
    <t>XF48413</t>
  </si>
  <si>
    <t>Pantalone</t>
  </si>
  <si>
    <t>+39 335 873 1115</t>
  </si>
  <si>
    <t>+390516095416</t>
  </si>
  <si>
    <t>p.pantalone@inail.it</t>
  </si>
  <si>
    <t>XF47267</t>
  </si>
  <si>
    <t>Conestabile della staffa</t>
  </si>
  <si>
    <t>Beatrice</t>
  </si>
  <si>
    <t>+39 335 465 590</t>
  </si>
  <si>
    <t>+390516095411</t>
  </si>
  <si>
    <t>b.conestabiledellastaffa@inail.it</t>
  </si>
  <si>
    <t>XF46099</t>
  </si>
  <si>
    <t>Zichichi</t>
  </si>
  <si>
    <t>Fabio</t>
  </si>
  <si>
    <t>+39 335 750 4869</t>
  </si>
  <si>
    <t>+390516095421</t>
  </si>
  <si>
    <t>fa.zichichi@inail.it</t>
  </si>
  <si>
    <t>XF46065</t>
  </si>
  <si>
    <t>Tropiano</t>
  </si>
  <si>
    <t>Domenico</t>
  </si>
  <si>
    <t>+39 335 599 7692</t>
  </si>
  <si>
    <t>+390516095420</t>
  </si>
  <si>
    <t>d.tropiano@inail.it</t>
  </si>
  <si>
    <t>XF45632</t>
  </si>
  <si>
    <t>Fuscà</t>
  </si>
  <si>
    <t>+39 335 827 6868</t>
  </si>
  <si>
    <t>+390516095413</t>
  </si>
  <si>
    <t>a.fusca@inail.it</t>
  </si>
  <si>
    <t>XF46512</t>
  </si>
  <si>
    <t>Magnani</t>
  </si>
  <si>
    <t>Lara</t>
  </si>
  <si>
    <t>+39 366 682 3138</t>
  </si>
  <si>
    <t>+390516095415</t>
  </si>
  <si>
    <t>l.magnani@inail.it</t>
  </si>
  <si>
    <t>XF46641</t>
  </si>
  <si>
    <t>Scala</t>
  </si>
  <si>
    <t>+39 366 638 0704</t>
  </si>
  <si>
    <t>+390516095419</t>
  </si>
  <si>
    <t>f.scala@inail.it</t>
  </si>
  <si>
    <t>XF45836</t>
  </si>
  <si>
    <t>Oss</t>
  </si>
  <si>
    <t>+39 339 873 9270</t>
  </si>
  <si>
    <t>+390471560213</t>
  </si>
  <si>
    <t>m.oss@inail.it</t>
  </si>
  <si>
    <t>XF45942</t>
  </si>
  <si>
    <t>Rossetti</t>
  </si>
  <si>
    <t>+39 335 172 4385</t>
  </si>
  <si>
    <t>+390302434248</t>
  </si>
  <si>
    <t>f.rossetti@inail.it</t>
  </si>
  <si>
    <t>XF45850</t>
  </si>
  <si>
    <t>Palumbo</t>
  </si>
  <si>
    <t>Natale</t>
  </si>
  <si>
    <t>+39 338 631 6732</t>
  </si>
  <si>
    <t>+390302434272</t>
  </si>
  <si>
    <t>n.palumbo@inail.it</t>
  </si>
  <si>
    <t>XF45928</t>
  </si>
  <si>
    <t>Rizzo</t>
  </si>
  <si>
    <t>Natale Ivan</t>
  </si>
  <si>
    <t>+39 335 843 6634</t>
  </si>
  <si>
    <t>+390302434263</t>
  </si>
  <si>
    <t>na.rizzo@inail.it</t>
  </si>
  <si>
    <t>XF45977</t>
  </si>
  <si>
    <t>Scalici</t>
  </si>
  <si>
    <t>Tommaso</t>
  </si>
  <si>
    <t>t.scalici@inail.it</t>
  </si>
  <si>
    <t>XF45722</t>
  </si>
  <si>
    <t>Loda</t>
  </si>
  <si>
    <t>Mariarosa</t>
  </si>
  <si>
    <t>+39 339 876 7837</t>
  </si>
  <si>
    <t>879/262</t>
  </si>
  <si>
    <t>m.loda@inail.it</t>
  </si>
  <si>
    <t>XF45365</t>
  </si>
  <si>
    <t>Balistreri</t>
  </si>
  <si>
    <t>Riccardo</t>
  </si>
  <si>
    <t>+39 366 561 8567</t>
  </si>
  <si>
    <t>+390706052254</t>
  </si>
  <si>
    <t>r.balistreri@inail.it</t>
  </si>
  <si>
    <t>XF45449</t>
  </si>
  <si>
    <t>Lucio</t>
  </si>
  <si>
    <t>+39 335 202 108</t>
  </si>
  <si>
    <t>+390706052262</t>
  </si>
  <si>
    <t>l.carta@inail.it</t>
  </si>
  <si>
    <t>XF46504</t>
  </si>
  <si>
    <t>Lostia di Santa sofia</t>
  </si>
  <si>
    <t>+39 366 639 1049</t>
  </si>
  <si>
    <t>+390706052265</t>
  </si>
  <si>
    <t>c.lostiadisantasofia@inail.it</t>
  </si>
  <si>
    <t>XF46662</t>
  </si>
  <si>
    <t>Spanu</t>
  </si>
  <si>
    <t>Omero</t>
  </si>
  <si>
    <t>+39 366 686 9900</t>
  </si>
  <si>
    <t>+390706052256</t>
  </si>
  <si>
    <t>o.spanu@inail.it</t>
  </si>
  <si>
    <t>XF46535</t>
  </si>
  <si>
    <t>Maurino</t>
  </si>
  <si>
    <t>Manuel</t>
  </si>
  <si>
    <t>+39 335 727 3461</t>
  </si>
  <si>
    <t>+390706052278</t>
  </si>
  <si>
    <t>m.maurino@inail.it</t>
  </si>
  <si>
    <t>XF45779</t>
  </si>
  <si>
    <t>Patrik</t>
  </si>
  <si>
    <t>+39 366 936 0934</t>
  </si>
  <si>
    <t>+390706052264</t>
  </si>
  <si>
    <t>p.maurino@inail.it</t>
  </si>
  <si>
    <t>XF46307</t>
  </si>
  <si>
    <t>Cannas</t>
  </si>
  <si>
    <t>Daniela </t>
  </si>
  <si>
    <t>+39 335 211 376</t>
  </si>
  <si>
    <t>+390706052275</t>
  </si>
  <si>
    <t>d.cannas@inail.it</t>
  </si>
  <si>
    <t>XF45438</t>
  </si>
  <si>
    <t>Cappai</t>
  </si>
  <si>
    <t>Giannina </t>
  </si>
  <si>
    <t>+39 366 936 0925</t>
  </si>
  <si>
    <t>+390706052235</t>
  </si>
  <si>
    <t>g.cappai@inail.it</t>
  </si>
  <si>
    <t>XF45659</t>
  </si>
  <si>
    <t>Giua</t>
  </si>
  <si>
    <t>Rita </t>
  </si>
  <si>
    <t>+39 335 103 7329</t>
  </si>
  <si>
    <t>+390706052280</t>
  </si>
  <si>
    <t>r.giua@inail.it</t>
  </si>
  <si>
    <t>XF45723</t>
  </si>
  <si>
    <t>Loddo</t>
  </si>
  <si>
    <t>Giancarlo </t>
  </si>
  <si>
    <t>+39 335 538 0684</t>
  </si>
  <si>
    <t>+390706052250</t>
  </si>
  <si>
    <t>g.loddo@inail.it</t>
  </si>
  <si>
    <t>XF46041</t>
  </si>
  <si>
    <t>Taurasi</t>
  </si>
  <si>
    <t>+39 331 647 8925</t>
  </si>
  <si>
    <t>+390874475321</t>
  </si>
  <si>
    <t>f.taurasi@inail.it</t>
  </si>
  <si>
    <t>XF46554</t>
  </si>
  <si>
    <t>Morettini</t>
  </si>
  <si>
    <t>+39 335 122 8102</t>
  </si>
  <si>
    <t>+390874475327</t>
  </si>
  <si>
    <t>a.morettini@inail.it</t>
  </si>
  <si>
    <t>XF52142</t>
  </si>
  <si>
    <t>Scarano</t>
  </si>
  <si>
    <t>Maria Teresa</t>
  </si>
  <si>
    <t>+39 335 728 1912</t>
  </si>
  <si>
    <t>+390874475246</t>
  </si>
  <si>
    <t>ma.scarano@inail.it</t>
  </si>
  <si>
    <t>XF46486</t>
  </si>
  <si>
    <t>Izzo</t>
  </si>
  <si>
    <t>Elisa</t>
  </si>
  <si>
    <t>+39 338 652 4646</t>
  </si>
  <si>
    <t>+390874475324</t>
  </si>
  <si>
    <t>e.izzo@inail.it</t>
  </si>
  <si>
    <t>XF45610</t>
  </si>
  <si>
    <t>Festa</t>
  </si>
  <si>
    <t>+39 335 201 494</t>
  </si>
  <si>
    <t>+390957190650</t>
  </si>
  <si>
    <t>s.festa@inail.it</t>
  </si>
  <si>
    <t>XF46268</t>
  </si>
  <si>
    <t>Barresi</t>
  </si>
  <si>
    <t>Davide</t>
  </si>
  <si>
    <t>+39 335 755 8306</t>
  </si>
  <si>
    <t>+390957190649</t>
  </si>
  <si>
    <t>d.barresi@inail.it</t>
  </si>
  <si>
    <t>XF45873</t>
  </si>
  <si>
    <t>Percolla</t>
  </si>
  <si>
    <t>Carmelo Maria Alessandro</t>
  </si>
  <si>
    <t>+39 335 800 3153</t>
  </si>
  <si>
    <t>+390957190655</t>
  </si>
  <si>
    <t>c.percolla@inail.it</t>
  </si>
  <si>
    <t>XF46602</t>
  </si>
  <si>
    <t>Polizzotto</t>
  </si>
  <si>
    <t>Vincenzo</t>
  </si>
  <si>
    <t>+39 335 760 3778</t>
  </si>
  <si>
    <t>+390957190640</t>
  </si>
  <si>
    <t>v.polizzotto@inail.it</t>
  </si>
  <si>
    <t>XF46068</t>
  </si>
  <si>
    <t>Tuttolomondo</t>
  </si>
  <si>
    <t>+39 334 116 5174</t>
  </si>
  <si>
    <t>+390957190648</t>
  </si>
  <si>
    <t>d.tuttolomondo@inail.it</t>
  </si>
  <si>
    <t>XF46380</t>
  </si>
  <si>
    <t>Denaro</t>
  </si>
  <si>
    <t>Salvatore</t>
  </si>
  <si>
    <t>+39 335 834 5596</t>
  </si>
  <si>
    <t>+390957190651</t>
  </si>
  <si>
    <t>s.denaro@inail.it</t>
  </si>
  <si>
    <t>XF45695</t>
  </si>
  <si>
    <t>Isaia</t>
  </si>
  <si>
    <t>Orazio</t>
  </si>
  <si>
    <t>+39 334 116 5494</t>
  </si>
  <si>
    <t>+390957190519</t>
  </si>
  <si>
    <t>o.isaia@inail.it</t>
  </si>
  <si>
    <t>XF46495</t>
  </si>
  <si>
    <t>L'Episcopo</t>
  </si>
  <si>
    <t>Nunziata</t>
  </si>
  <si>
    <t>+39 335 593 7162</t>
  </si>
  <si>
    <t>+390957190244</t>
  </si>
  <si>
    <t>n.lepiscopo@inail.it</t>
  </si>
  <si>
    <t>XF45913</t>
  </si>
  <si>
    <t>Randazzo</t>
  </si>
  <si>
    <t>+39 338 536 1727</t>
  </si>
  <si>
    <t>+390957190288</t>
  </si>
  <si>
    <t>r.randazzo@inail.it</t>
  </si>
  <si>
    <t>XF48424</t>
  </si>
  <si>
    <t>Scalia</t>
  </si>
  <si>
    <t>Dario Emanuele</t>
  </si>
  <si>
    <t>+39 335 830 7379</t>
  </si>
  <si>
    <t>+390957190643</t>
  </si>
  <si>
    <t>d.scalia@inail.it</t>
  </si>
  <si>
    <t>XF45607</t>
  </si>
  <si>
    <t>Ferraguto</t>
  </si>
  <si>
    <t>+39 335 800 2145</t>
  </si>
  <si>
    <t>+390957190644</t>
  </si>
  <si>
    <t>f.ferraguto@inail.it</t>
  </si>
  <si>
    <t>XF46453</t>
  </si>
  <si>
    <t>Garofalo</t>
  </si>
  <si>
    <t>Andrea</t>
  </si>
  <si>
    <t>+39 366 687 3346</t>
  </si>
  <si>
    <t>+390957190647</t>
  </si>
  <si>
    <t>an.garofalo@inail.it</t>
  </si>
  <si>
    <t>XF45350</t>
  </si>
  <si>
    <t xml:space="preserve">Arfo </t>
  </si>
  <si>
    <t>+39 333 481 9884</t>
  </si>
  <si>
    <t>+390957190641</t>
  </si>
  <si>
    <t>m.arfo@inail.it</t>
  </si>
  <si>
    <t>XF45614</t>
  </si>
  <si>
    <t>Figura</t>
  </si>
  <si>
    <t>Sebastiano Antonino</t>
  </si>
  <si>
    <t>+39 366 680 4768</t>
  </si>
  <si>
    <t>+390957190652</t>
  </si>
  <si>
    <t>s.figura@inail.it</t>
  </si>
  <si>
    <t>XF45728</t>
  </si>
  <si>
    <t>Longo</t>
  </si>
  <si>
    <t>Roberto Franco Oscar</t>
  </si>
  <si>
    <t>+39 335 105 1402</t>
  </si>
  <si>
    <t>+390961535235</t>
  </si>
  <si>
    <t>ro.longo@inail.it</t>
  </si>
  <si>
    <t>XF46265</t>
  </si>
  <si>
    <t>Badolato</t>
  </si>
  <si>
    <t>+39 334 111 5819</t>
  </si>
  <si>
    <t>+390961535272</t>
  </si>
  <si>
    <t>f.badolato@inail.it</t>
  </si>
  <si>
    <t>XF45502</t>
  </si>
  <si>
    <t>Cosentini</t>
  </si>
  <si>
    <t>Anthony Francis</t>
  </si>
  <si>
    <t>+39 334 111 5817</t>
  </si>
  <si>
    <t>+390961535256</t>
  </si>
  <si>
    <t>a.cosentini@inail.it</t>
  </si>
  <si>
    <t>XF48421</t>
  </si>
  <si>
    <t>Diano</t>
  </si>
  <si>
    <t>+39 366 567 0654</t>
  </si>
  <si>
    <t>+390961535444</t>
  </si>
  <si>
    <t>m.diano@inail.it</t>
  </si>
  <si>
    <t>XF46406</t>
  </si>
  <si>
    <t>+39 334 629 6530</t>
  </si>
  <si>
    <t>+390961535216</t>
  </si>
  <si>
    <t>r.donato@inail.it</t>
  </si>
  <si>
    <t>XF45596</t>
  </si>
  <si>
    <t>Fabiano</t>
  </si>
  <si>
    <t>+39 335 581 4714</t>
  </si>
  <si>
    <t>+390961535268</t>
  </si>
  <si>
    <t>r.fabiano@inail.it</t>
  </si>
  <si>
    <t>XF45907</t>
  </si>
  <si>
    <t>Quattromani</t>
  </si>
  <si>
    <t>Manuela</t>
  </si>
  <si>
    <t>+39 334 670 6772</t>
  </si>
  <si>
    <t>+390961535261</t>
  </si>
  <si>
    <t>m.quattromani@inail.it</t>
  </si>
  <si>
    <t>XF46324</t>
  </si>
  <si>
    <t>Cassina</t>
  </si>
  <si>
    <t>+39 335 105 1960</t>
  </si>
  <si>
    <t>+390961535282</t>
  </si>
  <si>
    <t>s.cassina@inail.it</t>
  </si>
  <si>
    <t>XF46114</t>
  </si>
  <si>
    <t>Crocco</t>
  </si>
  <si>
    <t>+39 334 649 3706</t>
  </si>
  <si>
    <t>+390961535234</t>
  </si>
  <si>
    <t>g.crocco@inail.it</t>
  </si>
  <si>
    <t>XF45673</t>
  </si>
  <si>
    <t>Greco</t>
  </si>
  <si>
    <t>Maria Neve</t>
  </si>
  <si>
    <t>+39 335 105 2744</t>
  </si>
  <si>
    <t>+390961535267</t>
  </si>
  <si>
    <t>mn.greco@inail.it</t>
  </si>
  <si>
    <t>XF46480</t>
  </si>
  <si>
    <t>Ianni</t>
  </si>
  <si>
    <t>+39 335 105 3192</t>
  </si>
  <si>
    <t>+390961535269</t>
  </si>
  <si>
    <t>p.ianni@inail.it</t>
  </si>
  <si>
    <t>XF45494</t>
  </si>
  <si>
    <t>Comità</t>
  </si>
  <si>
    <t>+39 366 687 3339</t>
  </si>
  <si>
    <t>0961535238</t>
  </si>
  <si>
    <t>d.comita@inail.it</t>
  </si>
  <si>
    <t>XF45651</t>
  </si>
  <si>
    <t>Giannelli</t>
  </si>
  <si>
    <t>+39 335 756 3847</t>
  </si>
  <si>
    <t>+390313375434</t>
  </si>
  <si>
    <t>g.giannelli@inail.it</t>
  </si>
  <si>
    <t>XF48315</t>
  </si>
  <si>
    <t>Muratore</t>
  </si>
  <si>
    <t>Antonino</t>
  </si>
  <si>
    <t>+39 335 878 0681</t>
  </si>
  <si>
    <t>+390313375422</t>
  </si>
  <si>
    <t>a.muratore@inail.it</t>
  </si>
  <si>
    <t>XF45769</t>
  </si>
  <si>
    <t>Marziliano</t>
  </si>
  <si>
    <t>Matteo Pio</t>
  </si>
  <si>
    <t>+39 335 730 9489</t>
  </si>
  <si>
    <t xml:space="preserve"> +390313375433</t>
  </si>
  <si>
    <t>m.marziliano@inail.it</t>
  </si>
  <si>
    <t>XF45653</t>
  </si>
  <si>
    <t>Giannoccaro</t>
  </si>
  <si>
    <t>Nicola Roberto</t>
  </si>
  <si>
    <t>+39 335 805 1689</t>
  </si>
  <si>
    <t>+390313375435</t>
  </si>
  <si>
    <t>n.giannoccaro@inail.it</t>
  </si>
  <si>
    <t>XF45681</t>
  </si>
  <si>
    <t>Guidolin</t>
  </si>
  <si>
    <t>Massimo</t>
  </si>
  <si>
    <t>+390313375436</t>
  </si>
  <si>
    <t>m.guidolin@inail.it</t>
  </si>
  <si>
    <t>XF45794</t>
  </si>
  <si>
    <t>Milazzo</t>
  </si>
  <si>
    <t>+39 339 876 0364</t>
  </si>
  <si>
    <t>+390313375431</t>
  </si>
  <si>
    <t>s.milazzo@inail.it</t>
  </si>
  <si>
    <t>XF46299</t>
  </si>
  <si>
    <t>Calabrese</t>
  </si>
  <si>
    <t>Carmen</t>
  </si>
  <si>
    <t>+39 335 125 5599</t>
  </si>
  <si>
    <t>+390313375432</t>
  </si>
  <si>
    <t>c.calabrese@inail.it</t>
  </si>
  <si>
    <t>XF46331</t>
  </si>
  <si>
    <t xml:space="preserve">Cesarò </t>
  </si>
  <si>
    <t>+39 339 876 0564</t>
  </si>
  <si>
    <t>+390313375430</t>
  </si>
  <si>
    <t>r.cesaro@inail.it</t>
  </si>
  <si>
    <t>XF46036</t>
  </si>
  <si>
    <t>Tapparello</t>
  </si>
  <si>
    <t>Angelita</t>
  </si>
  <si>
    <t>+39 339 876 7796</t>
  </si>
  <si>
    <t>a.tapparello@inail.it</t>
  </si>
  <si>
    <t>XF45361</t>
  </si>
  <si>
    <t>Bagordo</t>
  </si>
  <si>
    <t>Gianni</t>
  </si>
  <si>
    <t>+39 334 116 5728</t>
  </si>
  <si>
    <t>+390553205477</t>
  </si>
  <si>
    <t>g.bagordo@inail.it</t>
  </si>
  <si>
    <t>XF45849</t>
  </si>
  <si>
    <t>Palombo</t>
  </si>
  <si>
    <t>+39 338 949 9164</t>
  </si>
  <si>
    <t>+390553205591</t>
  </si>
  <si>
    <t>f.palombo@inail.it</t>
  </si>
  <si>
    <t>XF46671</t>
  </si>
  <si>
    <t>Tani</t>
  </si>
  <si>
    <t>+39 335 807 3616</t>
  </si>
  <si>
    <t>+390553205531</t>
  </si>
  <si>
    <t>d.tani@inail.it</t>
  </si>
  <si>
    <t>XF46697</t>
  </si>
  <si>
    <t>Vari</t>
  </si>
  <si>
    <t>+390553205273</t>
  </si>
  <si>
    <t>c.vari@inail.it</t>
  </si>
  <si>
    <t>XF45709</t>
  </si>
  <si>
    <t>Lenzuni</t>
  </si>
  <si>
    <t>+390553205529</t>
  </si>
  <si>
    <t>p.lenzuni@inail.it</t>
  </si>
  <si>
    <t>XF46078</t>
  </si>
  <si>
    <t>Vanneschi</t>
  </si>
  <si>
    <t>+39 335 806 7207</t>
  </si>
  <si>
    <t>+390553205456</t>
  </si>
  <si>
    <t>m.vanneschi@inail.it</t>
  </si>
  <si>
    <t>XF46344</t>
  </si>
  <si>
    <t>Colazzo</t>
  </si>
  <si>
    <t>Luana</t>
  </si>
  <si>
    <t>+39 335 831 3842</t>
  </si>
  <si>
    <t>+390553205441</t>
  </si>
  <si>
    <t>l.colazzo@inail.it</t>
  </si>
  <si>
    <t>XF45918</t>
  </si>
  <si>
    <t>Raveggi</t>
  </si>
  <si>
    <t>Cristina</t>
  </si>
  <si>
    <t>+39 338 615 7709</t>
  </si>
  <si>
    <t>+390553205525</t>
  </si>
  <si>
    <t>c.raveggi@inail.it</t>
  </si>
  <si>
    <t>XF45429</t>
  </si>
  <si>
    <t>Calaciura</t>
  </si>
  <si>
    <t>+39 335 828 5155</t>
  </si>
  <si>
    <t>+390553205561</t>
  </si>
  <si>
    <t>a.calaciura@inail.it</t>
  </si>
  <si>
    <t>XF45629</t>
  </si>
  <si>
    <t>Franciolini</t>
  </si>
  <si>
    <t>Lorenzo</t>
  </si>
  <si>
    <t>+39 331 143 4118</t>
  </si>
  <si>
    <t>l.franciolini@inail.it</t>
  </si>
  <si>
    <t>XF45953</t>
  </si>
  <si>
    <t>Russo</t>
  </si>
  <si>
    <t>Roberto Giuseppe</t>
  </si>
  <si>
    <t>+39 335 832 3024</t>
  </si>
  <si>
    <t>+390543451550</t>
  </si>
  <si>
    <t>rg.russo@inail.it</t>
  </si>
  <si>
    <t>XF46320</t>
  </si>
  <si>
    <t>Carro</t>
  </si>
  <si>
    <t>Alberto</t>
  </si>
  <si>
    <t>+39 366 567 4316</t>
  </si>
  <si>
    <t>+390543451554</t>
  </si>
  <si>
    <t>a.carro@inail.it</t>
  </si>
  <si>
    <t>XF45374</t>
  </si>
  <si>
    <t>Batani</t>
  </si>
  <si>
    <t>Mario</t>
  </si>
  <si>
    <t>+39 335 876 4152</t>
  </si>
  <si>
    <t>+390543451553</t>
  </si>
  <si>
    <t>m.batani@inail.it</t>
  </si>
  <si>
    <t>XF46318</t>
  </si>
  <si>
    <t>Carnaccini</t>
  </si>
  <si>
    <t>Alice</t>
  </si>
  <si>
    <t>+39 366 567 9429</t>
  </si>
  <si>
    <t>+390543451558</t>
  </si>
  <si>
    <t>a.carnaccini@inail.it</t>
  </si>
  <si>
    <t>XF46413</t>
  </si>
  <si>
    <t>Fantuzzi</t>
  </si>
  <si>
    <t>Marina</t>
  </si>
  <si>
    <t>+39 366 567 0872</t>
  </si>
  <si>
    <t>+390543451557</t>
  </si>
  <si>
    <t>m.fantuzzi@inail.it</t>
  </si>
  <si>
    <t>XF45944</t>
  </si>
  <si>
    <t>Rossi</t>
  </si>
  <si>
    <t xml:space="preserve">Emanuela </t>
  </si>
  <si>
    <t>+39 366 567 3696</t>
  </si>
  <si>
    <t>+390543451555</t>
  </si>
  <si>
    <t>e.rossi@inail.it</t>
  </si>
  <si>
    <t>XF46336</t>
  </si>
  <si>
    <t>Ciancio</t>
  </si>
  <si>
    <t>Romano</t>
  </si>
  <si>
    <t>+39 335 199 5850</t>
  </si>
  <si>
    <t>+390105463743</t>
  </si>
  <si>
    <t>r.ciancio@inail.it</t>
  </si>
  <si>
    <t>XF46415</t>
  </si>
  <si>
    <t>Fascioli</t>
  </si>
  <si>
    <t>Luigi</t>
  </si>
  <si>
    <t>+39 335 698 0483</t>
  </si>
  <si>
    <t>+390105463744</t>
  </si>
  <si>
    <t>l.fascioli@inail.it</t>
  </si>
  <si>
    <t>XF46280</t>
  </si>
  <si>
    <t>Belotti</t>
  </si>
  <si>
    <t>Laura</t>
  </si>
  <si>
    <t>+39 339 876 8810</t>
  </si>
  <si>
    <t>+390105463747</t>
  </si>
  <si>
    <t>l.belotti@inail.it</t>
  </si>
  <si>
    <t>XF46484</t>
  </si>
  <si>
    <t>Ippolito</t>
  </si>
  <si>
    <t>+39 339 876 8906</t>
  </si>
  <si>
    <t>+390105463748</t>
  </si>
  <si>
    <t>c.ippolito@inail.it</t>
  </si>
  <si>
    <t>XF46542</t>
  </si>
  <si>
    <t>Melone</t>
  </si>
  <si>
    <t>Elisabetta</t>
  </si>
  <si>
    <t>+39 339 876 8916</t>
  </si>
  <si>
    <t>+390105463746</t>
  </si>
  <si>
    <t>e.melone@inail.it</t>
  </si>
  <si>
    <t>XF45678</t>
  </si>
  <si>
    <t>Guerra</t>
  </si>
  <si>
    <t>+39 320 299 4686</t>
  </si>
  <si>
    <t>+390586254391</t>
  </si>
  <si>
    <t>an.guerra@inail.it</t>
  </si>
  <si>
    <t>XF48590</t>
  </si>
  <si>
    <t>Margutti</t>
  </si>
  <si>
    <t>+39 335 879 6023</t>
  </si>
  <si>
    <t>+390586254395</t>
  </si>
  <si>
    <t>a.margutti@inail.it</t>
  </si>
  <si>
    <t>XF46546</t>
  </si>
  <si>
    <t>Minerva</t>
  </si>
  <si>
    <t>Leonardo</t>
  </si>
  <si>
    <t>+39 335 879 7900</t>
  </si>
  <si>
    <t>+390586254302</t>
  </si>
  <si>
    <t>l.minerva@inail.it</t>
  </si>
  <si>
    <t>XF45421</t>
  </si>
  <si>
    <t>Bruzzo</t>
  </si>
  <si>
    <t>+39 320 299 4732</t>
  </si>
  <si>
    <t>+390586254355</t>
  </si>
  <si>
    <t>l.bruzzo@inail.it</t>
  </si>
  <si>
    <t>XF45407</t>
  </si>
  <si>
    <t>Boninti</t>
  </si>
  <si>
    <t>+39 335 879 7131</t>
  </si>
  <si>
    <t>+390586254322</t>
  </si>
  <si>
    <t>a.boninti@inail.it</t>
  </si>
  <si>
    <t>XF45478</t>
  </si>
  <si>
    <t>Cigliano</t>
  </si>
  <si>
    <t>+39 335 879 7191</t>
  </si>
  <si>
    <t>+390586254323</t>
  </si>
  <si>
    <t>r.cigliano@inail.it</t>
  </si>
  <si>
    <t>XF46538</t>
  </si>
  <si>
    <t>Mazzetti</t>
  </si>
  <si>
    <t>Egidio</t>
  </si>
  <si>
    <t>+390586254326</t>
  </si>
  <si>
    <t>e.mazzetti@inail.it</t>
  </si>
  <si>
    <t>XF45378</t>
  </si>
  <si>
    <t>Beccati</t>
  </si>
  <si>
    <t>+390586254310</t>
  </si>
  <si>
    <t>e.beccati@inail.it</t>
  </si>
  <si>
    <t>XF46523</t>
  </si>
  <si>
    <t>Marchi</t>
  </si>
  <si>
    <t>Patrizia</t>
  </si>
  <si>
    <t>+39 335 879 9509</t>
  </si>
  <si>
    <t>+390586254324</t>
  </si>
  <si>
    <t>p.marchi@inail.it</t>
  </si>
  <si>
    <t>XF46647</t>
  </si>
  <si>
    <t>Sclano</t>
  </si>
  <si>
    <t>Carla</t>
  </si>
  <si>
    <t>+39 335 879 7551</t>
  </si>
  <si>
    <t>+390586254325</t>
  </si>
  <si>
    <t>c.sclano@inail.it</t>
  </si>
  <si>
    <t>XF45628</t>
  </si>
  <si>
    <t>Franchi</t>
  </si>
  <si>
    <t>Emanuela</t>
  </si>
  <si>
    <t>+39 320 299 4685</t>
  </si>
  <si>
    <t>+390583526288</t>
  </si>
  <si>
    <t>e.franchi@inail.it</t>
  </si>
  <si>
    <t>XF46359</t>
  </si>
  <si>
    <t>Dalmonte</t>
  </si>
  <si>
    <t>Alessio</t>
  </si>
  <si>
    <t>+39 366 682 3123</t>
  </si>
  <si>
    <t>+390583526297</t>
  </si>
  <si>
    <t>a.dalmonte@inail.it</t>
  </si>
  <si>
    <t>XF45416</t>
  </si>
  <si>
    <t>Bravi</t>
  </si>
  <si>
    <t>Narciso</t>
  </si>
  <si>
    <t>+39 320 299 4765</t>
  </si>
  <si>
    <t>+390583526294</t>
  </si>
  <si>
    <t>n.bravi@inail.it</t>
  </si>
  <si>
    <t>XF46269</t>
  </si>
  <si>
    <t>Barsocchi</t>
  </si>
  <si>
    <t>Giacomo</t>
  </si>
  <si>
    <t>+39 366 682 3107</t>
  </si>
  <si>
    <t>+390583526296</t>
  </si>
  <si>
    <t>g.barsocchi@inail.it</t>
  </si>
  <si>
    <t>XF46283</t>
  </si>
  <si>
    <t>Bianchi</t>
  </si>
  <si>
    <t>Jonathan</t>
  </si>
  <si>
    <t>+39 335 813 5806</t>
  </si>
  <si>
    <t>+390583526287</t>
  </si>
  <si>
    <t>j.bianchi@inail.it</t>
  </si>
  <si>
    <t>XF45720</t>
  </si>
  <si>
    <t>Lo Mele</t>
  </si>
  <si>
    <t>Elio</t>
  </si>
  <si>
    <t>+39 334 116 5731</t>
  </si>
  <si>
    <t>+390553205486</t>
  </si>
  <si>
    <t>e.lomele@inail.it</t>
  </si>
  <si>
    <t>XF46332</t>
  </si>
  <si>
    <t>Cherubini</t>
  </si>
  <si>
    <t>Matteo</t>
  </si>
  <si>
    <t>+39 366 682 3102</t>
  </si>
  <si>
    <t>+390583526289</t>
  </si>
  <si>
    <t>ma.cherubini@inail.it</t>
  </si>
  <si>
    <t>XF45961</t>
  </si>
  <si>
    <t>Saias</t>
  </si>
  <si>
    <t>Luigia Anna</t>
  </si>
  <si>
    <t>+39 338 713 5695</t>
  </si>
  <si>
    <t>+390583526292</t>
  </si>
  <si>
    <t>l.saias@inail.it</t>
  </si>
  <si>
    <t>XF45649</t>
  </si>
  <si>
    <t>Giacobbe</t>
  </si>
  <si>
    <t>+39 366 561 8564</t>
  </si>
  <si>
    <t>+390903718290</t>
  </si>
  <si>
    <t>f.giacobbe@inail.it</t>
  </si>
  <si>
    <t>XF46465</t>
  </si>
  <si>
    <t>Giuffrida</t>
  </si>
  <si>
    <t>Massimo Basilio</t>
  </si>
  <si>
    <t>+39 331 626 5640</t>
  </si>
  <si>
    <t>+390903718250</t>
  </si>
  <si>
    <t>m.giuffrida@inail.it</t>
  </si>
  <si>
    <t>XF46472</t>
  </si>
  <si>
    <t>Grazioli</t>
  </si>
  <si>
    <t>+39 335 830 8959</t>
  </si>
  <si>
    <t>+390903718287</t>
  </si>
  <si>
    <t>c.grazioli@inail.it</t>
  </si>
  <si>
    <t>XF46600</t>
  </si>
  <si>
    <t>Platania</t>
  </si>
  <si>
    <t>Mauro</t>
  </si>
  <si>
    <t>+390903718273</t>
  </si>
  <si>
    <t>m.platania@inail.it</t>
  </si>
  <si>
    <t>XF45600</t>
  </si>
  <si>
    <t>Falzea</t>
  </si>
  <si>
    <t>+39 334 664 8854</t>
  </si>
  <si>
    <t>+390903718293</t>
  </si>
  <si>
    <t>m.falzea@inail.it</t>
  </si>
  <si>
    <t>XF45829</t>
  </si>
  <si>
    <t xml:space="preserve">Olivo </t>
  </si>
  <si>
    <t>Francesco Calogero</t>
  </si>
  <si>
    <t>+39 335 774 1849</t>
  </si>
  <si>
    <t>+390903718297</t>
  </si>
  <si>
    <t>f.olivo@inail.it</t>
  </si>
  <si>
    <t>XF45897</t>
  </si>
  <si>
    <t>Polimeni</t>
  </si>
  <si>
    <t>Antonino Saverio</t>
  </si>
  <si>
    <t>+39 335 797 6051</t>
  </si>
  <si>
    <t>+390903718277</t>
  </si>
  <si>
    <t>a.polimeni@inail.it</t>
  </si>
  <si>
    <t>XF45954</t>
  </si>
  <si>
    <t>Massimo Antonio</t>
  </si>
  <si>
    <t>+39 366 639 1045</t>
  </si>
  <si>
    <t>+390903718298</t>
  </si>
  <si>
    <t>man.russo@inail.it</t>
  </si>
  <si>
    <t>XF45995</t>
  </si>
  <si>
    <t>Sergi</t>
  </si>
  <si>
    <t>Piero</t>
  </si>
  <si>
    <t>+39 335 202 219</t>
  </si>
  <si>
    <t>+390903718299</t>
  </si>
  <si>
    <t>p.sergi@inail.it</t>
  </si>
  <si>
    <t>XF46057</t>
  </si>
  <si>
    <t>Tortorici</t>
  </si>
  <si>
    <t>+39 335 646 6293</t>
  </si>
  <si>
    <t>+390903718289</t>
  </si>
  <si>
    <t>g.tortorici@inail.it</t>
  </si>
  <si>
    <t>XF46400</t>
  </si>
  <si>
    <t>Di Rosa</t>
  </si>
  <si>
    <t>+39 335 728 0132</t>
  </si>
  <si>
    <t>+390903718295</t>
  </si>
  <si>
    <t>r.dirosa@inail.it</t>
  </si>
  <si>
    <t>XF46473</t>
  </si>
  <si>
    <t>Grillo</t>
  </si>
  <si>
    <t>Daniela</t>
  </si>
  <si>
    <t>+39 366 622 8148</t>
  </si>
  <si>
    <t>+390903718296</t>
  </si>
  <si>
    <t>d.grillo@inail.it</t>
  </si>
  <si>
    <t>XF46609</t>
  </si>
  <si>
    <t>Quattrone</t>
  </si>
  <si>
    <t>Concetta Roberta</t>
  </si>
  <si>
    <t>+39 335 728 3548</t>
  </si>
  <si>
    <t>+390903718294</t>
  </si>
  <si>
    <t>c.quattrone@inail.it</t>
  </si>
  <si>
    <t>XF46056</t>
  </si>
  <si>
    <t>Alessandra</t>
  </si>
  <si>
    <t>+39 335 797 5964</t>
  </si>
  <si>
    <t>+390903718292</t>
  </si>
  <si>
    <t>a.tortorici@inail.it</t>
  </si>
  <si>
    <t>XF45540</t>
  </si>
  <si>
    <t>De Mattia</t>
  </si>
  <si>
    <t>+39 334 668 4018</t>
  </si>
  <si>
    <t>+390262586538</t>
  </si>
  <si>
    <t>m.demattia@inail.it</t>
  </si>
  <si>
    <t>XF45346</t>
  </si>
  <si>
    <t>Andolina</t>
  </si>
  <si>
    <t>+39 335 650 5102</t>
  </si>
  <si>
    <t>+390262586445</t>
  </si>
  <si>
    <t>a.andolina@inail.it</t>
  </si>
  <si>
    <t>XF46343</t>
  </si>
  <si>
    <t>Colautto</t>
  </si>
  <si>
    <t>Alessandro</t>
  </si>
  <si>
    <t>+39 335 653 6558</t>
  </si>
  <si>
    <t>+390262586397</t>
  </si>
  <si>
    <t>a.colautto@inail.it</t>
  </si>
  <si>
    <t>XF46448</t>
  </si>
  <si>
    <t>Gallerano</t>
  </si>
  <si>
    <t>+39 334 649 3707</t>
  </si>
  <si>
    <t>+390262586510</t>
  </si>
  <si>
    <t>l.gallerano@inail.it</t>
  </si>
  <si>
    <t>XF45781</t>
  </si>
  <si>
    <t>Mazzarelli</t>
  </si>
  <si>
    <t>Iuri</t>
  </si>
  <si>
    <t>+39 334 629 4171</t>
  </si>
  <si>
    <t>+390262586378</t>
  </si>
  <si>
    <t>i.mazzarelli@inail.it</t>
  </si>
  <si>
    <t>XF45718</t>
  </si>
  <si>
    <t>Lipari</t>
  </si>
  <si>
    <t>Pierluigi</t>
  </si>
  <si>
    <t>+39 338 573 0834</t>
  </si>
  <si>
    <t>+390262586073</t>
  </si>
  <si>
    <t>p.lipari@inail.it</t>
  </si>
  <si>
    <t>XF46568</t>
  </si>
  <si>
    <t>Olivo</t>
  </si>
  <si>
    <t>+39 334 667 1437</t>
  </si>
  <si>
    <t>+390262586381</t>
  </si>
  <si>
    <t>g.olivo@inail.it</t>
  </si>
  <si>
    <t>XF46565</t>
  </si>
  <si>
    <t>Nastasi</t>
  </si>
  <si>
    <t xml:space="preserve">Carmela </t>
  </si>
  <si>
    <t>+39 338 575 0759</t>
  </si>
  <si>
    <t>+390923550242</t>
  </si>
  <si>
    <t>c.nastasi@inail.it</t>
  </si>
  <si>
    <t>XF46636</t>
  </si>
  <si>
    <t>Sambusida</t>
  </si>
  <si>
    <t>Massimiliano</t>
  </si>
  <si>
    <t>+39 334 698 5122</t>
  </si>
  <si>
    <t>+390262586533</t>
  </si>
  <si>
    <t>m.sambusida@inail.it</t>
  </si>
  <si>
    <t>XF46077</t>
  </si>
  <si>
    <t>Valletta</t>
  </si>
  <si>
    <t>Stefania</t>
  </si>
  <si>
    <t>+39 335 544 1369</t>
  </si>
  <si>
    <t>+390262586563</t>
  </si>
  <si>
    <t>s.valletta@inail.it</t>
  </si>
  <si>
    <t>XF46095</t>
  </si>
  <si>
    <t>Zaccagnini</t>
  </si>
  <si>
    <t>Emiliano</t>
  </si>
  <si>
    <t>+39 334 699 7852</t>
  </si>
  <si>
    <t>+390262586361</t>
  </si>
  <si>
    <t>e.zaccagnini@inail.it</t>
  </si>
  <si>
    <t>XF45328</t>
  </si>
  <si>
    <t>Addonizio</t>
  </si>
  <si>
    <t>Pasquale</t>
  </si>
  <si>
    <t>+39 320 299 4727</t>
  </si>
  <si>
    <t>+390817784750</t>
  </si>
  <si>
    <t>p.addonizio@inail.it</t>
  </si>
  <si>
    <t>XF45675</t>
  </si>
  <si>
    <t>Grimaldi</t>
  </si>
  <si>
    <t>Alfonso</t>
  </si>
  <si>
    <t>+39 335 139 7342</t>
  </si>
  <si>
    <t>+390817784765</t>
  </si>
  <si>
    <t>a.grimaldi@inail.it</t>
  </si>
  <si>
    <t>XF45831</t>
  </si>
  <si>
    <t>Opromolla</t>
  </si>
  <si>
    <t>Eduardo Giuseppe</t>
  </si>
  <si>
    <t>+39 366 638 7230</t>
  </si>
  <si>
    <t>+390817784776</t>
  </si>
  <si>
    <t>e.opromolla@inail.it</t>
  </si>
  <si>
    <t>XF46574</t>
  </si>
  <si>
    <t>Pagliuso</t>
  </si>
  <si>
    <t>Tecla</t>
  </si>
  <si>
    <t>+39 366 573 1638</t>
  </si>
  <si>
    <t>+390817784771</t>
  </si>
  <si>
    <t>t.pagliuso@inail.it</t>
  </si>
  <si>
    <t>XF46584</t>
  </si>
  <si>
    <t>Pedicini</t>
  </si>
  <si>
    <t>+39 338 610 8506</t>
  </si>
  <si>
    <t>+390817784774</t>
  </si>
  <si>
    <t>n.pedicini@inail.it</t>
  </si>
  <si>
    <t>XF46621</t>
  </si>
  <si>
    <t>Romagnuolo</t>
  </si>
  <si>
    <t>+39 335 142 5853</t>
  </si>
  <si>
    <t>+390817784777</t>
  </si>
  <si>
    <t>n.romagnuolo@inail.it</t>
  </si>
  <si>
    <t>XF46710</t>
  </si>
  <si>
    <t>Vosa</t>
  </si>
  <si>
    <t>Viviana</t>
  </si>
  <si>
    <t>+39 335 764 5667</t>
  </si>
  <si>
    <t>+390817784783</t>
  </si>
  <si>
    <t>v.vosa@inail.it</t>
  </si>
  <si>
    <t>XF46293</t>
  </si>
  <si>
    <t>Buccheri</t>
  </si>
  <si>
    <t>+39 335 139 7488</t>
  </si>
  <si>
    <t>+390817784784</t>
  </si>
  <si>
    <t>g.buccheri@inail.it</t>
  </si>
  <si>
    <t>XF45505</t>
  </si>
  <si>
    <t>Cozzolino</t>
  </si>
  <si>
    <t>+39 335 151 4484</t>
  </si>
  <si>
    <t>+390817784754</t>
  </si>
  <si>
    <t>an.cozzolino@inail.it</t>
  </si>
  <si>
    <t>XF45598</t>
  </si>
  <si>
    <t>Faiella</t>
  </si>
  <si>
    <t>+39 335 151 4981</t>
  </si>
  <si>
    <t>+390817784763</t>
  </si>
  <si>
    <t>m.faiella@inail.it</t>
  </si>
  <si>
    <t>XF46510</t>
  </si>
  <si>
    <t>Madonna</t>
  </si>
  <si>
    <t>Marianna</t>
  </si>
  <si>
    <t>+39 366 625 7960</t>
  </si>
  <si>
    <t>+390817784785</t>
  </si>
  <si>
    <t>m.madonna@inail.it</t>
  </si>
  <si>
    <t>XF45592</t>
  </si>
  <si>
    <t>Dovetto</t>
  </si>
  <si>
    <t>Maria Giovanna</t>
  </si>
  <si>
    <t>+39 335 151 4977</t>
  </si>
  <si>
    <t>+390817784215</t>
  </si>
  <si>
    <t>m.dovetto@inail.it</t>
  </si>
  <si>
    <t>XF46422</t>
  </si>
  <si>
    <t>Ferrara</t>
  </si>
  <si>
    <t>Isabella</t>
  </si>
  <si>
    <t>+39 335 151 6334</t>
  </si>
  <si>
    <t>+390817784764</t>
  </si>
  <si>
    <t>i.ferrara@inail.it</t>
  </si>
  <si>
    <t>XF45782</t>
  </si>
  <si>
    <t>Ivan</t>
  </si>
  <si>
    <t>+39 335 141 4174</t>
  </si>
  <si>
    <t>+390817784770</t>
  </si>
  <si>
    <t>iv.mazzarelli@inail.it</t>
  </si>
  <si>
    <t>XF45853</t>
  </si>
  <si>
    <t>Papa</t>
  </si>
  <si>
    <t>Augusto</t>
  </si>
  <si>
    <t>+39 335 141 8168</t>
  </si>
  <si>
    <t>+390817784773</t>
  </si>
  <si>
    <t>a.papa@inail.it</t>
  </si>
  <si>
    <t>XF46659</t>
  </si>
  <si>
    <t>Sorrentino</t>
  </si>
  <si>
    <t>+39 335 151 8397</t>
  </si>
  <si>
    <t>+390817784781</t>
  </si>
  <si>
    <t>d.sorrentino@inail.it</t>
  </si>
  <si>
    <t>XF46035</t>
  </si>
  <si>
    <t>Tanzillo</t>
  </si>
  <si>
    <t>Ciro</t>
  </si>
  <si>
    <t>+39 335 151 9778</t>
  </si>
  <si>
    <t>+390817784782</t>
  </si>
  <si>
    <t>c.tanzillo@inail.it</t>
  </si>
  <si>
    <t>XF45507</t>
  </si>
  <si>
    <t xml:space="preserve">Crisci </t>
  </si>
  <si>
    <t>Rosario</t>
  </si>
  <si>
    <t>+39 335 151 3328</t>
  </si>
  <si>
    <t>+390817784755</t>
  </si>
  <si>
    <t>r.crisci@inail.it</t>
  </si>
  <si>
    <t>XF45966</t>
  </si>
  <si>
    <t>Salzano</t>
  </si>
  <si>
    <t>+39 335 144 4435</t>
  </si>
  <si>
    <t>+390817784779</t>
  </si>
  <si>
    <t>m.salzano@inail.it</t>
  </si>
  <si>
    <t>XF45968</t>
  </si>
  <si>
    <t>Santagata</t>
  </si>
  <si>
    <t>+39 335 145 3885</t>
  </si>
  <si>
    <t>4780</t>
  </si>
  <si>
    <t>a.santagata@inail.it</t>
  </si>
  <si>
    <t>XF46365</t>
  </si>
  <si>
    <t>De Candia</t>
  </si>
  <si>
    <t>+39 335 150 6525</t>
  </si>
  <si>
    <t>+390817784758</t>
  </si>
  <si>
    <t>e.decandia@inail.it</t>
  </si>
  <si>
    <t>XF46387</t>
  </si>
  <si>
    <t>Di Guida</t>
  </si>
  <si>
    <t>+39 335 151 7090</t>
  </si>
  <si>
    <t>+390817784761</t>
  </si>
  <si>
    <t>f.diguida@inail.it</t>
  </si>
  <si>
    <t>XF46457</t>
  </si>
  <si>
    <t>Gentile</t>
  </si>
  <si>
    <t>Pier Giorgio</t>
  </si>
  <si>
    <t>+39 366 675 6803</t>
  </si>
  <si>
    <t>+390817784752</t>
  </si>
  <si>
    <t>pi.gentile@inail.it</t>
  </si>
  <si>
    <t>XF45729</t>
  </si>
  <si>
    <t>Loreti</t>
  </si>
  <si>
    <t>Rosanna</t>
  </si>
  <si>
    <t>+39 335 767 5738</t>
  </si>
  <si>
    <t>+390817784769</t>
  </si>
  <si>
    <t>r.loreti@inail.it</t>
  </si>
  <si>
    <t>XF43551</t>
  </si>
  <si>
    <t>Teresa</t>
  </si>
  <si>
    <t>+39 366 573 1526</t>
  </si>
  <si>
    <t>+390817784772</t>
  </si>
  <si>
    <t>te.palumbo@inail.it</t>
  </si>
  <si>
    <t>XF45874</t>
  </si>
  <si>
    <t>Perone Pacifico</t>
  </si>
  <si>
    <t>Giampietro</t>
  </si>
  <si>
    <t>+39 335 142 1541</t>
  </si>
  <si>
    <t>+390817784775</t>
  </si>
  <si>
    <t>g.peronepacifico@inail.it</t>
  </si>
  <si>
    <t>XF45959</t>
  </si>
  <si>
    <t>Sacchettino</t>
  </si>
  <si>
    <t>+39 335 143 7135</t>
  </si>
  <si>
    <t>+390817784778</t>
  </si>
  <si>
    <t>s.sacchettino@inail.it</t>
  </si>
  <si>
    <t>XF45535</t>
  </si>
  <si>
    <t>De Falco</t>
  </si>
  <si>
    <t>+39 335 151 4850</t>
  </si>
  <si>
    <t>+390817784760</t>
  </si>
  <si>
    <t>r.defalco@inail.it</t>
  </si>
  <si>
    <t>XF47402</t>
  </si>
  <si>
    <t>Di Costanzo</t>
  </si>
  <si>
    <t>Gelsomina</t>
  </si>
  <si>
    <t>+39 335 141 0837</t>
  </si>
  <si>
    <t>+390817784759</t>
  </si>
  <si>
    <t>g.dicostanzo@inail.it</t>
  </si>
  <si>
    <t>XF45356</t>
  </si>
  <si>
    <t>Aulicino Mazzei</t>
  </si>
  <si>
    <t>+39 331 617 8733</t>
  </si>
  <si>
    <t>s.aulicino@inail.it</t>
  </si>
  <si>
    <t>XF45436</t>
  </si>
  <si>
    <t>Cannavacciuolo</t>
  </si>
  <si>
    <t>Mariarosaria</t>
  </si>
  <si>
    <t>+39 335 736 0475</t>
  </si>
  <si>
    <t>+390817784753</t>
  </si>
  <si>
    <t>m.cannavacciuolo@inail.it</t>
  </si>
  <si>
    <t>XF26057</t>
  </si>
  <si>
    <t>D'Antonio</t>
  </si>
  <si>
    <t>+39 335 150 2466</t>
  </si>
  <si>
    <t>+390817784757</t>
  </si>
  <si>
    <t>giu.dantonio@inail.it</t>
  </si>
  <si>
    <t>XF45682</t>
  </si>
  <si>
    <t>Guida</t>
  </si>
  <si>
    <t>Nicla</t>
  </si>
  <si>
    <t>+39 335 139 7436</t>
  </si>
  <si>
    <t>+390817784766</t>
  </si>
  <si>
    <t>n.guida@inail.it</t>
  </si>
  <si>
    <t>XF45852</t>
  </si>
  <si>
    <t>Panin</t>
  </si>
  <si>
    <t>+39 335 727 9136</t>
  </si>
  <si>
    <t>+390498226706</t>
  </si>
  <si>
    <t>f.panin@inail.it</t>
  </si>
  <si>
    <t>XF45964</t>
  </si>
  <si>
    <t>Salmaso</t>
  </si>
  <si>
    <t>+39 335 879 4533</t>
  </si>
  <si>
    <t xml:space="preserve">+390498226707 </t>
  </si>
  <si>
    <t>a.salmaso@inail.it</t>
  </si>
  <si>
    <t>XF45971</t>
  </si>
  <si>
    <t>Sanzi</t>
  </si>
  <si>
    <t>+39 334 609 3577</t>
  </si>
  <si>
    <t>+390498226708</t>
  </si>
  <si>
    <t>d.sanzi@inail.it</t>
  </si>
  <si>
    <t>XF45590</t>
  </si>
  <si>
    <t>Donati</t>
  </si>
  <si>
    <t>+39 366 934 9027</t>
  </si>
  <si>
    <t>+390498226703</t>
  </si>
  <si>
    <t>c.donati@inail.it</t>
  </si>
  <si>
    <t>XF45366</t>
  </si>
  <si>
    <t xml:space="preserve">Ballotta </t>
  </si>
  <si>
    <t>Serena</t>
  </si>
  <si>
    <t>+39 366 934 8342</t>
  </si>
  <si>
    <t xml:space="preserve">+390498226701  </t>
  </si>
  <si>
    <t>s.ballotta@inail.it</t>
  </si>
  <si>
    <t>XF45791</t>
  </si>
  <si>
    <t>Miceli</t>
  </si>
  <si>
    <t>Ezio</t>
  </si>
  <si>
    <t>+39 335 845 4441</t>
  </si>
  <si>
    <t>+390498226552</t>
  </si>
  <si>
    <t>e.miceli@inail.it</t>
  </si>
  <si>
    <t>XF45338</t>
  </si>
  <si>
    <t>Amaro</t>
  </si>
  <si>
    <t>+39 366 575 0594</t>
  </si>
  <si>
    <t>+390916705594</t>
  </si>
  <si>
    <t>f.amaro@inail.it</t>
  </si>
  <si>
    <t>XF45343</t>
  </si>
  <si>
    <t>Amodeo</t>
  </si>
  <si>
    <t>+39 366 574 2379</t>
  </si>
  <si>
    <t>+390916705591</t>
  </si>
  <si>
    <t>p.amodeo@inail.it</t>
  </si>
  <si>
    <t>XF45351</t>
  </si>
  <si>
    <t>Argento</t>
  </si>
  <si>
    <t>+39 366 574 3088</t>
  </si>
  <si>
    <t>+390916705585</t>
  </si>
  <si>
    <t>gi.argento@inail.it</t>
  </si>
  <si>
    <t>XF45385</t>
  </si>
  <si>
    <t>Bellissimo</t>
  </si>
  <si>
    <t>Maurilio</t>
  </si>
  <si>
    <t>+39 366 574 1227</t>
  </si>
  <si>
    <t>+390916705588</t>
  </si>
  <si>
    <t>m.bellissimo@inail.it</t>
  </si>
  <si>
    <t>XF45566</t>
  </si>
  <si>
    <t>Di Fonzo</t>
  </si>
  <si>
    <t>+39 335 172 4349</t>
  </si>
  <si>
    <t>+390916705580</t>
  </si>
  <si>
    <t>d.difonzo@inail.it</t>
  </si>
  <si>
    <t>XF45818</t>
  </si>
  <si>
    <t>+39 366 574 6912</t>
  </si>
  <si>
    <t>+390916705619</t>
  </si>
  <si>
    <t>v.nastasi@inail.it</t>
  </si>
  <si>
    <t>XF46029</t>
  </si>
  <si>
    <t>Sunseri</t>
  </si>
  <si>
    <t>Giancarlo</t>
  </si>
  <si>
    <t>+39 366 574 0782</t>
  </si>
  <si>
    <t>+390916705592</t>
  </si>
  <si>
    <t>g.sunseri@inail.it</t>
  </si>
  <si>
    <t>XF46030</t>
  </si>
  <si>
    <t>+39 366 575 0829</t>
  </si>
  <si>
    <t>+390916705627</t>
  </si>
  <si>
    <t>r.sunseri@inail.it</t>
  </si>
  <si>
    <t>XF46691</t>
  </si>
  <si>
    <t>Vaccaro</t>
  </si>
  <si>
    <t>+39 366 574 3314</t>
  </si>
  <si>
    <t>+390916705581</t>
  </si>
  <si>
    <t>gi.vaccaro@inail.it</t>
  </si>
  <si>
    <t>XF45778</t>
  </si>
  <si>
    <t>Mauceri</t>
  </si>
  <si>
    <t>Renato</t>
  </si>
  <si>
    <t>+39 338 799 9611</t>
  </si>
  <si>
    <t>+390412573461</t>
  </si>
  <si>
    <t>r.mauceri@inail.it</t>
  </si>
  <si>
    <t>XF46014</t>
  </si>
  <si>
    <t>Sofia</t>
  </si>
  <si>
    <t xml:space="preserve">Francesco Paolo </t>
  </si>
  <si>
    <t>+39 366 575 1868</t>
  </si>
  <si>
    <t>+390916705584</t>
  </si>
  <si>
    <t>f.sofia@inail.it</t>
  </si>
  <si>
    <t>XF46033</t>
  </si>
  <si>
    <t>Tammuzza</t>
  </si>
  <si>
    <t>+39 366 575 1234</t>
  </si>
  <si>
    <t>+390916705593</t>
  </si>
  <si>
    <t>a.tammuzza@inail.it</t>
  </si>
  <si>
    <t>XF46417</t>
  </si>
  <si>
    <t>Favara</t>
  </si>
  <si>
    <t>Simone</t>
  </si>
  <si>
    <t>+39 366 574 5390</t>
  </si>
  <si>
    <t>+390916705579</t>
  </si>
  <si>
    <t>s.favara@inail.it</t>
  </si>
  <si>
    <t>XF45615</t>
  </si>
  <si>
    <t>Filippone</t>
  </si>
  <si>
    <t>+39 366 574 2377</t>
  </si>
  <si>
    <t>+390916705611</t>
  </si>
  <si>
    <t>f.filippone@inail.it</t>
  </si>
  <si>
    <t>XF45827</t>
  </si>
  <si>
    <t>Oliveri</t>
  </si>
  <si>
    <t>Maria Rita</t>
  </si>
  <si>
    <t>+39 331 647 8927</t>
  </si>
  <si>
    <t>+390916705462</t>
  </si>
  <si>
    <t>m.oliveri@inail.it</t>
  </si>
  <si>
    <t>XF46606</t>
  </si>
  <si>
    <t>Profili</t>
  </si>
  <si>
    <t>+39 334 681 7660</t>
  </si>
  <si>
    <t>l.profili@inail.it</t>
  </si>
  <si>
    <t>XF45471</t>
  </si>
  <si>
    <t>Chiarelli</t>
  </si>
  <si>
    <t>+39 339 873 9206</t>
  </si>
  <si>
    <t>+390922496466</t>
  </si>
  <si>
    <t>s.chiarelli@inail.it</t>
  </si>
  <si>
    <t>XF45500</t>
  </si>
  <si>
    <t xml:space="preserve">Cordaro </t>
  </si>
  <si>
    <t>+39 366 574 9616</t>
  </si>
  <si>
    <t>+390916705583</t>
  </si>
  <si>
    <t>l.cordaro@inail.it</t>
  </si>
  <si>
    <t>XF45788</t>
  </si>
  <si>
    <t>Messina</t>
  </si>
  <si>
    <t>Giuseppa</t>
  </si>
  <si>
    <t>+39 334 116 4614</t>
  </si>
  <si>
    <t>091/331696</t>
  </si>
  <si>
    <t>gi.messina@inail.it</t>
  </si>
  <si>
    <t>XF48581</t>
  </si>
  <si>
    <t>Grillone</t>
  </si>
  <si>
    <t>+39 331 697 5559</t>
  </si>
  <si>
    <t>g.grillone@inail.it</t>
  </si>
  <si>
    <t>XF45693</t>
  </si>
  <si>
    <t>Iovene</t>
  </si>
  <si>
    <t>+39 366 561 4497</t>
  </si>
  <si>
    <t>+3908545451453</t>
  </si>
  <si>
    <t>r.iovene@inail.it</t>
  </si>
  <si>
    <t>XF46388</t>
  </si>
  <si>
    <t>Di Iorio</t>
  </si>
  <si>
    <t xml:space="preserve">Giovanni </t>
  </si>
  <si>
    <t>+39 331 698 5015</t>
  </si>
  <si>
    <t>+390874475326</t>
  </si>
  <si>
    <t>g.diiorio@inail.it</t>
  </si>
  <si>
    <t>XF46698</t>
  </si>
  <si>
    <t>Vasile</t>
  </si>
  <si>
    <t>+39 366 561 6283</t>
  </si>
  <si>
    <t>+3908545451443</t>
  </si>
  <si>
    <t>r.vasile@inail.it</t>
  </si>
  <si>
    <t>XF45843</t>
  </si>
  <si>
    <t>Paiardini</t>
  </si>
  <si>
    <t>Gabriele</t>
  </si>
  <si>
    <t>+39 366 936 6973</t>
  </si>
  <si>
    <t>+390854545450</t>
  </si>
  <si>
    <t>g.paiardini@inail.it</t>
  </si>
  <si>
    <t>XF45400</t>
  </si>
  <si>
    <t>Bizzi</t>
  </si>
  <si>
    <t xml:space="preserve">Cinzia </t>
  </si>
  <si>
    <t>+39 339 873 9433</t>
  </si>
  <si>
    <t>+390694181595</t>
  </si>
  <si>
    <t>c.bizzi@inail.it</t>
  </si>
  <si>
    <t>XF45616</t>
  </si>
  <si>
    <t>Filograsso</t>
  </si>
  <si>
    <t xml:space="preserve">Francesca Romana </t>
  </si>
  <si>
    <t>+39 334 688 0089</t>
  </si>
  <si>
    <t>+3908545451448</t>
  </si>
  <si>
    <t>f.filograsso@inail.it</t>
  </si>
  <si>
    <t>XF46709</t>
  </si>
  <si>
    <t>Volpe</t>
  </si>
  <si>
    <t xml:space="preserve">Barbara </t>
  </si>
  <si>
    <t>+39 366 936 7043</t>
  </si>
  <si>
    <t>+390863425247</t>
  </si>
  <si>
    <t>b.volpe@inail.it</t>
  </si>
  <si>
    <t>XF46356</t>
  </si>
  <si>
    <t>D'alessandro</t>
  </si>
  <si>
    <t xml:space="preserve">Anna </t>
  </si>
  <si>
    <t>+39 335 809 2085</t>
  </si>
  <si>
    <t>+3908545451452</t>
  </si>
  <si>
    <t>a.dalessandro@inail.it</t>
  </si>
  <si>
    <t>XF46357</t>
  </si>
  <si>
    <t xml:space="preserve">Valeria </t>
  </si>
  <si>
    <t>+39 335 809 3364</t>
  </si>
  <si>
    <t>+3908545451446</t>
  </si>
  <si>
    <t>v.dalessandro@inail.it</t>
  </si>
  <si>
    <t>XF45692</t>
  </si>
  <si>
    <t>Ioppolo</t>
  </si>
  <si>
    <t xml:space="preserve">Francesco Antonio </t>
  </si>
  <si>
    <t>+39 335 808 6676</t>
  </si>
  <si>
    <t>942441</t>
  </si>
  <si>
    <t>f.ioppolo@inail.it</t>
  </si>
  <si>
    <t>XF46489</t>
  </si>
  <si>
    <t>Lanciotti</t>
  </si>
  <si>
    <t xml:space="preserve">Andrea </t>
  </si>
  <si>
    <t>+39 366 560 9824</t>
  </si>
  <si>
    <t>+3908545451444</t>
  </si>
  <si>
    <t>a.lanciotti@inail.it</t>
  </si>
  <si>
    <t>XF46685</t>
  </si>
  <si>
    <t>Tucceri</t>
  </si>
  <si>
    <t xml:space="preserve">Remo </t>
  </si>
  <si>
    <t>+39 335 844 3138</t>
  </si>
  <si>
    <t>+3908545451445</t>
  </si>
  <si>
    <t>r.tucceri@inail.it</t>
  </si>
  <si>
    <t>XF46708</t>
  </si>
  <si>
    <t>Vitucci</t>
  </si>
  <si>
    <t xml:space="preserve">Fabrizio </t>
  </si>
  <si>
    <t>+39 335 808 9655</t>
  </si>
  <si>
    <t>+390864245243</t>
  </si>
  <si>
    <t>f.vitucci@inail.it</t>
  </si>
  <si>
    <t>XF45571</t>
  </si>
  <si>
    <t>Di Girolamo</t>
  </si>
  <si>
    <t>Casto</t>
  </si>
  <si>
    <t>+39 338 945 5224</t>
  </si>
  <si>
    <t>+390523343370</t>
  </si>
  <si>
    <t>c.digirolamo@inail.it</t>
  </si>
  <si>
    <t>XF46297</t>
  </si>
  <si>
    <t>Cagnoni</t>
  </si>
  <si>
    <t>+39 335 137 7192</t>
  </si>
  <si>
    <t>+390262586411</t>
  </si>
  <si>
    <t>a.cagnoni@inail.it</t>
  </si>
  <si>
    <t>XF45544</t>
  </si>
  <si>
    <t>De Robertis</t>
  </si>
  <si>
    <t>Corrado</t>
  </si>
  <si>
    <t>+390523343375</t>
  </si>
  <si>
    <t>c.derobertis@inail.it</t>
  </si>
  <si>
    <t>XF45464</t>
  </si>
  <si>
    <t>Cavanna</t>
  </si>
  <si>
    <t>+39 331 621 8283</t>
  </si>
  <si>
    <t>+390523343373</t>
  </si>
  <si>
    <t>l.cavanna@inail.it</t>
  </si>
  <si>
    <t>XF46266</t>
  </si>
  <si>
    <t xml:space="preserve">Bardi </t>
  </si>
  <si>
    <t>+39 366 563 9616</t>
  </si>
  <si>
    <t>+390523343381</t>
  </si>
  <si>
    <t>m.bardi@inail.it</t>
  </si>
  <si>
    <t>XF46296</t>
  </si>
  <si>
    <t>Cabassa</t>
  </si>
  <si>
    <t>+39 335 878 0670</t>
  </si>
  <si>
    <t>+390523343380</t>
  </si>
  <si>
    <t>s.cabassa@inail.it</t>
  </si>
  <si>
    <t>XF45796</t>
  </si>
  <si>
    <t>Milone</t>
  </si>
  <si>
    <t>+39 366 564 4566</t>
  </si>
  <si>
    <t>+390523343377</t>
  </si>
  <si>
    <t>r.milone@inail.it</t>
  </si>
  <si>
    <t>XF46073</t>
  </si>
  <si>
    <t>Giovambattista</t>
  </si>
  <si>
    <t>+39 335 561 4373</t>
  </si>
  <si>
    <t>+390971606655</t>
  </si>
  <si>
    <t>gio.vaccaro@inail.it</t>
  </si>
  <si>
    <t>XF46534</t>
  </si>
  <si>
    <t>Rodrigo Alexandre</t>
  </si>
  <si>
    <t>+39 335 562 9521</t>
  </si>
  <si>
    <t>+390971606659</t>
  </si>
  <si>
    <t>r.matteo@inail.it</t>
  </si>
  <si>
    <t>XF45555</t>
  </si>
  <si>
    <t>Defina</t>
  </si>
  <si>
    <t>Beniamino</t>
  </si>
  <si>
    <t>+39 334 627 2290</t>
  </si>
  <si>
    <t>+390971606651</t>
  </si>
  <si>
    <t>b.defina@inail.it</t>
  </si>
  <si>
    <t>XF45663</t>
  </si>
  <si>
    <t>Goglia</t>
  </si>
  <si>
    <t>Vito</t>
  </si>
  <si>
    <t>+39 335 580 4313</t>
  </si>
  <si>
    <t>+390971606650</t>
  </si>
  <si>
    <t>v.goglia@inail.it</t>
  </si>
  <si>
    <t>XF46487</t>
  </si>
  <si>
    <t>Ladaga</t>
  </si>
  <si>
    <t>Gianluca</t>
  </si>
  <si>
    <t>+39 335 832 4351</t>
  </si>
  <si>
    <t>+390971606656</t>
  </si>
  <si>
    <t>g.ladaga@inail.it</t>
  </si>
  <si>
    <t>XF45637</t>
  </si>
  <si>
    <t>Galella</t>
  </si>
  <si>
    <t>+39 360 108 0103</t>
  </si>
  <si>
    <t>+390971606652</t>
  </si>
  <si>
    <t>f.galella@inail.it</t>
  </si>
  <si>
    <t>XF45801</t>
  </si>
  <si>
    <t>Mollone</t>
  </si>
  <si>
    <t>Ivana</t>
  </si>
  <si>
    <t>+39 335 563 4651</t>
  </si>
  <si>
    <t>+390971606653</t>
  </si>
  <si>
    <t>i.mollone@inail.it</t>
  </si>
  <si>
    <t>XF46013</t>
  </si>
  <si>
    <t>Smaldore</t>
  </si>
  <si>
    <t>Gerarda</t>
  </si>
  <si>
    <t>+39 334 611 2595</t>
  </si>
  <si>
    <t>+390971606657</t>
  </si>
  <si>
    <t>g.smaldore@inail.it</t>
  </si>
  <si>
    <t>XF45588</t>
  </si>
  <si>
    <t>Di Tosto</t>
  </si>
  <si>
    <t>Fausto</t>
  </si>
  <si>
    <t>+39 366 564 5100</t>
  </si>
  <si>
    <t>+390636437340</t>
  </si>
  <si>
    <t>f.ditosto@inail.it</t>
  </si>
  <si>
    <t>XF45362</t>
  </si>
  <si>
    <t>Baldassarini</t>
  </si>
  <si>
    <t>Stefano</t>
  </si>
  <si>
    <t>+39 335 878 0677</t>
  </si>
  <si>
    <t>+390636437177</t>
  </si>
  <si>
    <t>s.baldassarini@inail.it</t>
  </si>
  <si>
    <t>XF45937</t>
  </si>
  <si>
    <t>Ugo Roberto</t>
  </si>
  <si>
    <t>+39 366 564 3342</t>
  </si>
  <si>
    <t>+390636437295</t>
  </si>
  <si>
    <t>ur.romano@inail.it</t>
  </si>
  <si>
    <t>XF45737</t>
  </si>
  <si>
    <t>Lunghi</t>
  </si>
  <si>
    <t>+39 335 125 3205</t>
  </si>
  <si>
    <t>+390636437420</t>
  </si>
  <si>
    <t>a.lunghi@inail.it</t>
  </si>
  <si>
    <t>XF45458</t>
  </si>
  <si>
    <t>Catarinozzi</t>
  </si>
  <si>
    <t>+39 335 697 5815</t>
  </si>
  <si>
    <t>+390654872223</t>
  </si>
  <si>
    <t>a.catarinozzi@inail.it</t>
  </si>
  <si>
    <t>XF45477</t>
  </si>
  <si>
    <t>Cicaterrri</t>
  </si>
  <si>
    <t>Alessia</t>
  </si>
  <si>
    <t>+39 366 564 7047</t>
  </si>
  <si>
    <t>+390636437400</t>
  </si>
  <si>
    <t>a.cicaterri@inail.it</t>
  </si>
  <si>
    <t>XF45668</t>
  </si>
  <si>
    <t>Gorrino</t>
  </si>
  <si>
    <t>Gaetano Domenico</t>
  </si>
  <si>
    <t>+39 366 936 8796</t>
  </si>
  <si>
    <t>+390636437494</t>
  </si>
  <si>
    <t>g.gorrino@inail.it</t>
  </si>
  <si>
    <t>XF46505</t>
  </si>
  <si>
    <t>Lucantoni</t>
  </si>
  <si>
    <t>Aldo</t>
  </si>
  <si>
    <t>+39 366 564 7749</t>
  </si>
  <si>
    <t>+390636437360</t>
  </si>
  <si>
    <t>a.lucantoni@inail.it</t>
  </si>
  <si>
    <t>XF45736</t>
  </si>
  <si>
    <t>Ludovisi</t>
  </si>
  <si>
    <t>Enrica</t>
  </si>
  <si>
    <t>+39 335 878 0676</t>
  </si>
  <si>
    <t>+390636437493</t>
  </si>
  <si>
    <t>e.ludovisi@inail.it</t>
  </si>
  <si>
    <t>XF46520</t>
  </si>
  <si>
    <t>Manna</t>
  </si>
  <si>
    <t>+39 366 564 4508</t>
  </si>
  <si>
    <t>+390636437288</t>
  </si>
  <si>
    <t>s.manna@inail.it</t>
  </si>
  <si>
    <t>XF45925</t>
  </si>
  <si>
    <t>Rinaldi</t>
  </si>
  <si>
    <t>+39 338 537 9436</t>
  </si>
  <si>
    <t>+390636437397</t>
  </si>
  <si>
    <t>d.rinaldi@inail.it</t>
  </si>
  <si>
    <t>XF46715</t>
  </si>
  <si>
    <t>Zerisi</t>
  </si>
  <si>
    <t>+39 366 564 7032</t>
  </si>
  <si>
    <t>+390636437379</t>
  </si>
  <si>
    <t>a.zerisi@inail.it</t>
  </si>
  <si>
    <t>XF45686</t>
  </si>
  <si>
    <t>Iacomini</t>
  </si>
  <si>
    <t>+39 335 878 0698</t>
  </si>
  <si>
    <t>+390636437334</t>
  </si>
  <si>
    <t>m.iacomini@inail.it</t>
  </si>
  <si>
    <t>XF46088</t>
  </si>
  <si>
    <t>+39 338 491 2791</t>
  </si>
  <si>
    <t>a.viola@inail.it</t>
  </si>
  <si>
    <t>XF45504</t>
  </si>
  <si>
    <t>Costantini</t>
  </si>
  <si>
    <t>+39 339 873 7252</t>
  </si>
  <si>
    <t>+390636437809</t>
  </si>
  <si>
    <t>m.costantini@inail.it</t>
  </si>
  <si>
    <t>XF46411</t>
  </si>
  <si>
    <t>Ezzet</t>
  </si>
  <si>
    <t>Madeleine</t>
  </si>
  <si>
    <t>+39 366 564 8803</t>
  </si>
  <si>
    <t>+390636437486</t>
  </si>
  <si>
    <t>m.ezzet@inail.it</t>
  </si>
  <si>
    <t>XF45604</t>
  </si>
  <si>
    <t>Fattinnanzi</t>
  </si>
  <si>
    <t>Mara</t>
  </si>
  <si>
    <t>+39 366 564 5077</t>
  </si>
  <si>
    <t>+390636437868</t>
  </si>
  <si>
    <t>m.fattinnanzi@inail.it</t>
  </si>
  <si>
    <t>XF46426</t>
  </si>
  <si>
    <t>Ferretti</t>
  </si>
  <si>
    <t>Eva</t>
  </si>
  <si>
    <t>+39 366 564 1831</t>
  </si>
  <si>
    <t>+390636437489</t>
  </si>
  <si>
    <t>e.ferretti@inail.it</t>
  </si>
  <si>
    <t>XF46461</t>
  </si>
  <si>
    <t>Giasone</t>
  </si>
  <si>
    <t>Paola</t>
  </si>
  <si>
    <t>+39 366 564 2513</t>
  </si>
  <si>
    <t>+390636437386</t>
  </si>
  <si>
    <t>p.giasone@inail.it</t>
  </si>
  <si>
    <t>XF27803</t>
  </si>
  <si>
    <t>Giordano</t>
  </si>
  <si>
    <t>+39 366 564 6157</t>
  </si>
  <si>
    <t>+390636437349</t>
  </si>
  <si>
    <t>franc.giordano@inail.it</t>
  </si>
  <si>
    <t>XF46506</t>
  </si>
  <si>
    <t>Lucarelli</t>
  </si>
  <si>
    <t>+39 339 874 0109</t>
  </si>
  <si>
    <t>+390636437153</t>
  </si>
  <si>
    <t>m.lucarelli@inail.it</t>
  </si>
  <si>
    <t>XF46516</t>
  </si>
  <si>
    <t>Malizia</t>
  </si>
  <si>
    <t>+39 366 623 7940</t>
  </si>
  <si>
    <t>+390636437477</t>
  </si>
  <si>
    <t>a.malizia@inail.it</t>
  </si>
  <si>
    <t>XF45807</t>
  </si>
  <si>
    <t>Moretti</t>
  </si>
  <si>
    <t>+39 366 564 2270</t>
  </si>
  <si>
    <t>+390636437159</t>
  </si>
  <si>
    <t>e.moretti@inail.it</t>
  </si>
  <si>
    <t>XF46588</t>
  </si>
  <si>
    <t>Petrone</t>
  </si>
  <si>
    <t>+39 366 564 5815</t>
  </si>
  <si>
    <t>+390636437384</t>
  </si>
  <si>
    <t>d.petrone@inail.it</t>
  </si>
  <si>
    <t>XF46613</t>
  </si>
  <si>
    <t>Rapone</t>
  </si>
  <si>
    <t>Marco</t>
  </si>
  <si>
    <t>+39 339 873 7444</t>
  </si>
  <si>
    <t>+390746283227</t>
  </si>
  <si>
    <t>m.rapone@inail.it</t>
  </si>
  <si>
    <t>XF46619</t>
  </si>
  <si>
    <t>+39 366 564 8474</t>
  </si>
  <si>
    <t>+390636437151</t>
  </si>
  <si>
    <t>f.rizzo@inail.it</t>
  </si>
  <si>
    <t>XF46067</t>
  </si>
  <si>
    <t>Turrini</t>
  </si>
  <si>
    <t>Flavia</t>
  </si>
  <si>
    <t>+39 366 564 4561</t>
  </si>
  <si>
    <t>+390636437342</t>
  </si>
  <si>
    <t>f.turrini@inail.it</t>
  </si>
  <si>
    <t>XF46701</t>
  </si>
  <si>
    <t>Venturi</t>
  </si>
  <si>
    <t>Silvia</t>
  </si>
  <si>
    <t>+39 366 659 0745</t>
  </si>
  <si>
    <t>+390636437478</t>
  </si>
  <si>
    <t>s.venturi@inail.it</t>
  </si>
  <si>
    <t>XF45465</t>
  </si>
  <si>
    <t>Cecavicchi</t>
  </si>
  <si>
    <t>l.cecavicchi@inail.it</t>
  </si>
  <si>
    <t>XF45570</t>
  </si>
  <si>
    <t>Di Giorgio</t>
  </si>
  <si>
    <t>+39 338 491 2793</t>
  </si>
  <si>
    <t>+39077632449</t>
  </si>
  <si>
    <t>g.digiorgio@inail.it</t>
  </si>
  <si>
    <t>XF46103</t>
  </si>
  <si>
    <t>Zurrida</t>
  </si>
  <si>
    <t>+39 331 675 7997</t>
  </si>
  <si>
    <t>+390706052248</t>
  </si>
  <si>
    <t>s.zurrida@inail.it</t>
  </si>
  <si>
    <t>XF45325</t>
  </si>
  <si>
    <t>Accascina</t>
  </si>
  <si>
    <t>+39 335 584 1819</t>
  </si>
  <si>
    <t>+390792084276</t>
  </si>
  <si>
    <t>a.accascina@inail.it</t>
  </si>
  <si>
    <t>XF46274</t>
  </si>
  <si>
    <t>Bebbere</t>
  </si>
  <si>
    <t>a.bebbere@inail.it</t>
  </si>
  <si>
    <t>XF46630</t>
  </si>
  <si>
    <t>Saba</t>
  </si>
  <si>
    <t>Franco</t>
  </si>
  <si>
    <t>+39 335 626 8347</t>
  </si>
  <si>
    <t>+390792084265</t>
  </si>
  <si>
    <t>f.saba@inail.it</t>
  </si>
  <si>
    <t>XF45622</t>
  </si>
  <si>
    <t>Foddai</t>
  </si>
  <si>
    <t>Maria Antonietta</t>
  </si>
  <si>
    <t>+39 366 613 3308</t>
  </si>
  <si>
    <t>+390792084282</t>
  </si>
  <si>
    <t>m.foddai@inail.it</t>
  </si>
  <si>
    <t>XF46530</t>
  </si>
  <si>
    <t>Marrone</t>
  </si>
  <si>
    <t>Simona</t>
  </si>
  <si>
    <t>+39 331 639 0787</t>
  </si>
  <si>
    <t>+390792084241</t>
  </si>
  <si>
    <t>s.marrone@inail.it</t>
  </si>
  <si>
    <t>XF45636</t>
  </si>
  <si>
    <t>Galasso</t>
  </si>
  <si>
    <t>Valerio</t>
  </si>
  <si>
    <t>+39 335 731 7849</t>
  </si>
  <si>
    <t>+390997322401</t>
  </si>
  <si>
    <t>v.galasso@inail.it</t>
  </si>
  <si>
    <t>XF46005</t>
  </si>
  <si>
    <t>Sibilano</t>
  </si>
  <si>
    <t>Adalberto</t>
  </si>
  <si>
    <t>+39 338 699 8733</t>
  </si>
  <si>
    <t>+390997322430</t>
  </si>
  <si>
    <t>a.sibilano@inail.it</t>
  </si>
  <si>
    <t>XF45744</t>
  </si>
  <si>
    <t>Manca</t>
  </si>
  <si>
    <t>+39 335 199 7504</t>
  </si>
  <si>
    <t>+390997322410</t>
  </si>
  <si>
    <t>d.manca@inail.it</t>
  </si>
  <si>
    <t>XF45583</t>
  </si>
  <si>
    <t>Di Ponzio</t>
  </si>
  <si>
    <t>+39 338 789 4122</t>
  </si>
  <si>
    <t>+390997322407</t>
  </si>
  <si>
    <t>e.diponzio@inail.it</t>
  </si>
  <si>
    <t>XF45667</t>
  </si>
  <si>
    <t>Gori</t>
  </si>
  <si>
    <t>Barbara</t>
  </si>
  <si>
    <t>+39 335 690 1346</t>
  </si>
  <si>
    <t>+390997322409</t>
  </si>
  <si>
    <t>b.gori@inail.it</t>
  </si>
  <si>
    <t>XF46330</t>
  </si>
  <si>
    <t>Cellamare</t>
  </si>
  <si>
    <t>+39 335 873 6914</t>
  </si>
  <si>
    <t>+390997322412</t>
  </si>
  <si>
    <t>g.cellamare@inail.it</t>
  </si>
  <si>
    <t>XF46470</t>
  </si>
  <si>
    <t>Grassi</t>
  </si>
  <si>
    <t>Tiziana</t>
  </si>
  <si>
    <t>+39335436634</t>
  </si>
  <si>
    <t>+390654875464</t>
  </si>
  <si>
    <t>t.grassi@inail.it</t>
  </si>
  <si>
    <t>XF45864</t>
  </si>
  <si>
    <t>Pellegrini</t>
  </si>
  <si>
    <t>Antonia Lorella</t>
  </si>
  <si>
    <t>+39 331 647 8915</t>
  </si>
  <si>
    <t>+390997322422</t>
  </si>
  <si>
    <t>an.pellegrini@inail.it</t>
  </si>
  <si>
    <t>XF45556</t>
  </si>
  <si>
    <t>Dell'anna</t>
  </si>
  <si>
    <t>+39 335 770 2001</t>
  </si>
  <si>
    <t>+390997322404</t>
  </si>
  <si>
    <t>p.dellanna@inail.it</t>
  </si>
  <si>
    <t>XF46540</t>
  </si>
  <si>
    <t>Mele</t>
  </si>
  <si>
    <t>+39 366 613 5221</t>
  </si>
  <si>
    <t>+390997322414</t>
  </si>
  <si>
    <t>a.mele@inail.it</t>
  </si>
  <si>
    <t>XF45875</t>
  </si>
  <si>
    <t>Perri</t>
  </si>
  <si>
    <t xml:space="preserve">Francesco </t>
  </si>
  <si>
    <t>+39 334 650 5120</t>
  </si>
  <si>
    <t>+390997322434</t>
  </si>
  <si>
    <t>f.perri@inail.it</t>
  </si>
  <si>
    <t>XF46044</t>
  </si>
  <si>
    <t xml:space="preserve">Tini </t>
  </si>
  <si>
    <t>Maria Nice</t>
  </si>
  <si>
    <t>+39 335 568 2501</t>
  </si>
  <si>
    <t>+390744207296</t>
  </si>
  <si>
    <t>m.tini@inail.it</t>
  </si>
  <si>
    <t>XF45845</t>
  </si>
  <si>
    <t>Palazzi</t>
  </si>
  <si>
    <t>Maria Andrea</t>
  </si>
  <si>
    <t>+39 335 879 5361</t>
  </si>
  <si>
    <t>+390744207292</t>
  </si>
  <si>
    <t>m.palazzi@inail.it</t>
  </si>
  <si>
    <t>XF46039</t>
  </si>
  <si>
    <t>Tattoli</t>
  </si>
  <si>
    <t>+39 338 949 8565</t>
  </si>
  <si>
    <t>+390744207295</t>
  </si>
  <si>
    <t>p.tattoli@inail.it</t>
  </si>
  <si>
    <t>XF46481</t>
  </si>
  <si>
    <t>Ianno'</t>
  </si>
  <si>
    <t>+39 339 873 7207</t>
  </si>
  <si>
    <t>+390744207286</t>
  </si>
  <si>
    <t>an.ianno@inail.it</t>
  </si>
  <si>
    <t>XF46561</t>
  </si>
  <si>
    <t>Nannini</t>
  </si>
  <si>
    <t>+39 335 877 3914</t>
  </si>
  <si>
    <t>+390744207298</t>
  </si>
  <si>
    <t>p.nannini@inail.it</t>
  </si>
  <si>
    <t>XF45388</t>
  </si>
  <si>
    <t>Benedetti</t>
  </si>
  <si>
    <t>Sonia</t>
  </si>
  <si>
    <t>+39 335 574 9833</t>
  </si>
  <si>
    <t>+390744207284</t>
  </si>
  <si>
    <t>s.benedetti@inail.it</t>
  </si>
  <si>
    <t>XF45397</t>
  </si>
  <si>
    <t>Biondini</t>
  </si>
  <si>
    <t>Fabiola</t>
  </si>
  <si>
    <t>+39 335 103 8569</t>
  </si>
  <si>
    <t>+390744207285</t>
  </si>
  <si>
    <t>f.biondini@inail.it</t>
  </si>
  <si>
    <t>XF46549</t>
  </si>
  <si>
    <t>+39 335 599 7727</t>
  </si>
  <si>
    <t>+390744207297</t>
  </si>
  <si>
    <t>s.modestino@inail.it</t>
  </si>
  <si>
    <t>XF45815</t>
  </si>
  <si>
    <t>Nardella</t>
  </si>
  <si>
    <t>Christian</t>
  </si>
  <si>
    <t>+39 335 878 1223</t>
  </si>
  <si>
    <t>+390744207272</t>
  </si>
  <si>
    <t>c.nardella@inail.it</t>
  </si>
  <si>
    <t>XF45978</t>
  </si>
  <si>
    <t>Scanu</t>
  </si>
  <si>
    <t>+39 335 537 4390</t>
  </si>
  <si>
    <t>+390744207288</t>
  </si>
  <si>
    <t>a.scanu@inail.it</t>
  </si>
  <si>
    <t>XF45481</t>
  </si>
  <si>
    <t>Ciocchetti</t>
  </si>
  <si>
    <t>+39 366 687 1993</t>
  </si>
  <si>
    <t>+390744207287</t>
  </si>
  <si>
    <t>l.ciocchetti@inail.it</t>
  </si>
  <si>
    <t>XF46550</t>
  </si>
  <si>
    <t>Moncini</t>
  </si>
  <si>
    <t>Federica</t>
  </si>
  <si>
    <t>+39 366 936 7462</t>
  </si>
  <si>
    <t>+390115593973</t>
  </si>
  <si>
    <t>f.moncini@inail.it</t>
  </si>
  <si>
    <t>XF46663</t>
  </si>
  <si>
    <t>Spinoso</t>
  </si>
  <si>
    <t>+39 335 172 4787</t>
  </si>
  <si>
    <t>+390115593980</t>
  </si>
  <si>
    <t>s.spinoso@inail.it</t>
  </si>
  <si>
    <t>XF46042</t>
  </si>
  <si>
    <t xml:space="preserve">Coromoto Tedesco </t>
  </si>
  <si>
    <t>Marilyn</t>
  </si>
  <si>
    <t>+39 366 936 6395</t>
  </si>
  <si>
    <t>+390115593974</t>
  </si>
  <si>
    <t>mar.tedesco@inail.it</t>
  </si>
  <si>
    <t>XF55381</t>
  </si>
  <si>
    <t>Micciola</t>
  </si>
  <si>
    <t>+39 335 849 9302</t>
  </si>
  <si>
    <t>a.micciola@inail.it</t>
  </si>
  <si>
    <t>XF46651</t>
  </si>
  <si>
    <t>Senatore</t>
  </si>
  <si>
    <t>Ramona</t>
  </si>
  <si>
    <t>+39 366 936 8834</t>
  </si>
  <si>
    <t>+390115593979</t>
  </si>
  <si>
    <t>r.senatore@inail.it</t>
  </si>
  <si>
    <t>XF45883</t>
  </si>
  <si>
    <t>Piccin</t>
  </si>
  <si>
    <t>+39 366 936 7465</t>
  </si>
  <si>
    <t>+390115593975</t>
  </si>
  <si>
    <t>r.piccin@inail.it</t>
  </si>
  <si>
    <t>XF45700</t>
  </si>
  <si>
    <t>Larice</t>
  </si>
  <si>
    <t>+39 366 934 7447</t>
  </si>
  <si>
    <t>+390432240260</t>
  </si>
  <si>
    <t>m.larice@inail.it</t>
  </si>
  <si>
    <t>XF45730</t>
  </si>
  <si>
    <t>Lorusso</t>
  </si>
  <si>
    <t>+390432240219</t>
  </si>
  <si>
    <t>l.lorusso@inail.it</t>
  </si>
  <si>
    <t>XF45685</t>
  </si>
  <si>
    <t>Gurnari</t>
  </si>
  <si>
    <t>+39 366 934 8682</t>
  </si>
  <si>
    <t>+390432240221</t>
  </si>
  <si>
    <t>g.gurnari@inail.it</t>
  </si>
  <si>
    <t>XF45672</t>
  </si>
  <si>
    <t>Greatti</t>
  </si>
  <si>
    <t>+390432240304</t>
  </si>
  <si>
    <t>d.greatti@inail.it</t>
  </si>
  <si>
    <t>XF45499</t>
  </si>
  <si>
    <t>Corazza</t>
  </si>
  <si>
    <t>894292</t>
  </si>
  <si>
    <t>s.corazza@inail.it</t>
  </si>
  <si>
    <t>XF45401</t>
  </si>
  <si>
    <t>Boella</t>
  </si>
  <si>
    <t>+39 338 733 7055</t>
  </si>
  <si>
    <t>+390412573400</t>
  </si>
  <si>
    <t>f.boella@inail.it</t>
  </si>
  <si>
    <t>XF46371</t>
  </si>
  <si>
    <t xml:space="preserve">De Palma </t>
  </si>
  <si>
    <t>+39 334 622 9647</t>
  </si>
  <si>
    <t>+390412573463</t>
  </si>
  <si>
    <t>a.depalma@inail.it</t>
  </si>
  <si>
    <t>XF45889</t>
  </si>
  <si>
    <t>Piovesan</t>
  </si>
  <si>
    <t>+39 366 683 8508</t>
  </si>
  <si>
    <t>+390412573447</t>
  </si>
  <si>
    <t>m.piovesan@inail.it</t>
  </si>
  <si>
    <t>XF45326</t>
  </si>
  <si>
    <t>Acerboni</t>
  </si>
  <si>
    <t>+39 366 684 2591</t>
  </si>
  <si>
    <t>r.acerboni@inail.it</t>
  </si>
  <si>
    <t>XF45868</t>
  </si>
  <si>
    <t>Penzo</t>
  </si>
  <si>
    <t>Silvano</t>
  </si>
  <si>
    <t>+39 338 949 8833</t>
  </si>
  <si>
    <t>+390412573404</t>
  </si>
  <si>
    <t>s.penzo@inail.it</t>
  </si>
  <si>
    <t>XF45930</t>
  </si>
  <si>
    <t>Rocchi</t>
  </si>
  <si>
    <t>Flavio</t>
  </si>
  <si>
    <t>+39 334 696 6002</t>
  </si>
  <si>
    <t>+390412573462</t>
  </si>
  <si>
    <t>f.rocchi@inail.it</t>
  </si>
  <si>
    <t>XF46353</t>
  </si>
  <si>
    <t>Crea</t>
  </si>
  <si>
    <t>Graziella</t>
  </si>
  <si>
    <t>+39 335 818 2514</t>
  </si>
  <si>
    <t>+390412573441</t>
  </si>
  <si>
    <t>gr.crea@inail.it</t>
  </si>
  <si>
    <t>XF49585</t>
  </si>
  <si>
    <t>Di Salvia Colace</t>
  </si>
  <si>
    <t>Giulia Maria</t>
  </si>
  <si>
    <t>+39 337 169 9475</t>
  </si>
  <si>
    <t>+390412573460</t>
  </si>
  <si>
    <t>g.colace@inail.it</t>
  </si>
  <si>
    <t>XF46502</t>
  </si>
  <si>
    <t>Jessica</t>
  </si>
  <si>
    <t>+39 338 628 6348</t>
  </si>
  <si>
    <t>+390412573416</t>
  </si>
  <si>
    <t>j.longo@inail.it</t>
  </si>
  <si>
    <t>XF45411</t>
  </si>
  <si>
    <t>Boscolo</t>
  </si>
  <si>
    <t>+39 339 581 8682</t>
  </si>
  <si>
    <t>0412573411</t>
  </si>
  <si>
    <t>iv.boscolo@inail.it</t>
  </si>
  <si>
    <t>XF46474</t>
  </si>
  <si>
    <t>Grubissich</t>
  </si>
  <si>
    <t>+39 335 163 2313</t>
  </si>
  <si>
    <t>+390458052384</t>
  </si>
  <si>
    <t>f.grubissich@inail.it</t>
  </si>
  <si>
    <t>XF46399</t>
  </si>
  <si>
    <t>Di Rocco</t>
  </si>
  <si>
    <t>Federico</t>
  </si>
  <si>
    <t>+39 335 650 5305</t>
  </si>
  <si>
    <t>+390458052307</t>
  </si>
  <si>
    <t>f.dirocco@inail.it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</si>
</sst>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9" fontId="2" fillId="0" borderId="0" xfId="1" applyNumberForma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 wrapText="1"/>
    </xf>
    <xf numFmtId="49" fontId="1" fillId="0" borderId="0" xfId="0" applyNumberFormat="1" applyFont="1" applyFill="1" applyBorder="1" applyAlignment="1">
      <alignment horizontal="left" vertical="center" wrapText="1"/>
    </xf>
    <xf numFmtId="0" fontId="2" fillId="0" borderId="0" xfId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left"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ersonaleUOT_elabora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ot"/>
      <sheetName val="Regioni"/>
      <sheetName val="Province"/>
      <sheetName val="Comuni"/>
      <sheetName val="Capoluoghi di Provincia"/>
      <sheetName val="qualifiche"/>
      <sheetName val="Personale UOT-eleborato per CSV"/>
      <sheetName val="Personale di appoggio"/>
    </sheetNames>
    <sheetDataSet>
      <sheetData sheetId="0">
        <row r="2">
          <cell r="A2">
            <v>1</v>
          </cell>
          <cell r="B2" t="str">
            <v>UOT di Pescara</v>
          </cell>
        </row>
        <row r="3">
          <cell r="A3">
            <v>2</v>
          </cell>
          <cell r="B3" t="str">
            <v>UOT di Potenza</v>
          </cell>
        </row>
        <row r="4">
          <cell r="A4">
            <v>3</v>
          </cell>
          <cell r="B4" t="str">
            <v>UOT di Catanzaro</v>
          </cell>
        </row>
        <row r="5">
          <cell r="A5">
            <v>4</v>
          </cell>
          <cell r="B5" t="str">
            <v>UOT di Avellino</v>
          </cell>
        </row>
        <row r="6">
          <cell r="A6">
            <v>5</v>
          </cell>
          <cell r="B6" t="str">
            <v>UOT di Napoli</v>
          </cell>
        </row>
        <row r="7">
          <cell r="A7">
            <v>6</v>
          </cell>
          <cell r="B7" t="str">
            <v>UOT di Bologna</v>
          </cell>
        </row>
        <row r="8">
          <cell r="A8">
            <v>7</v>
          </cell>
          <cell r="B8" t="str">
            <v>UOT di Forli'</v>
          </cell>
        </row>
        <row r="9">
          <cell r="A9">
            <v>8</v>
          </cell>
          <cell r="B9" t="str">
            <v>UOT di Piacenza</v>
          </cell>
        </row>
        <row r="10">
          <cell r="A10">
            <v>9</v>
          </cell>
          <cell r="B10" t="str">
            <v>UOT di Udine</v>
          </cell>
        </row>
        <row r="11">
          <cell r="A11">
            <v>10</v>
          </cell>
          <cell r="B11" t="str">
            <v>UOT di Roma</v>
          </cell>
        </row>
        <row r="12">
          <cell r="A12">
            <v>11</v>
          </cell>
          <cell r="B12" t="str">
            <v>UOT di Genova</v>
          </cell>
        </row>
        <row r="13">
          <cell r="A13">
            <v>12</v>
          </cell>
          <cell r="B13" t="str">
            <v>UOT di Milano</v>
          </cell>
        </row>
        <row r="14">
          <cell r="A14">
            <v>13</v>
          </cell>
          <cell r="B14" t="str">
            <v>UOT di Padova</v>
          </cell>
        </row>
        <row r="15">
          <cell r="A15">
            <v>14</v>
          </cell>
          <cell r="B15" t="str">
            <v>UOT di Alessandria</v>
          </cell>
        </row>
        <row r="16">
          <cell r="A16">
            <v>15</v>
          </cell>
          <cell r="B16" t="str">
            <v>UOT di Bergamo</v>
          </cell>
        </row>
        <row r="17">
          <cell r="A17">
            <v>16</v>
          </cell>
          <cell r="B17" t="str">
            <v>UOT di Taranto</v>
          </cell>
        </row>
        <row r="18">
          <cell r="A18">
            <v>17</v>
          </cell>
          <cell r="B18" t="str">
            <v>UOT di Campobasso</v>
          </cell>
        </row>
        <row r="19">
          <cell r="A19">
            <v>18</v>
          </cell>
          <cell r="B19" t="str">
            <v>UOT di Palermo</v>
          </cell>
        </row>
        <row r="20">
          <cell r="A20">
            <v>19</v>
          </cell>
          <cell r="B20" t="str">
            <v>UOT di Brescia</v>
          </cell>
        </row>
        <row r="21">
          <cell r="A21">
            <v>20</v>
          </cell>
          <cell r="B21" t="str">
            <v>UOT di Como</v>
          </cell>
        </row>
        <row r="22">
          <cell r="A22">
            <v>21</v>
          </cell>
          <cell r="B22" t="str">
            <v>UOT di Venezia-Mestre</v>
          </cell>
        </row>
        <row r="23">
          <cell r="A23">
            <v>22</v>
          </cell>
          <cell r="B23" t="str">
            <v>UOT di Verona</v>
          </cell>
        </row>
        <row r="24">
          <cell r="A24">
            <v>23</v>
          </cell>
          <cell r="B24" t="str">
            <v>UOT di Aosta</v>
          </cell>
        </row>
        <row r="25">
          <cell r="A25">
            <v>24</v>
          </cell>
          <cell r="B25" t="str">
            <v>UOT di Bolzano</v>
          </cell>
        </row>
        <row r="26">
          <cell r="A26">
            <v>25</v>
          </cell>
          <cell r="B26" t="str">
            <v>UOT di Terni</v>
          </cell>
        </row>
        <row r="27">
          <cell r="A27">
            <v>26</v>
          </cell>
          <cell r="B27" t="str">
            <v>UOT di Ancona</v>
          </cell>
        </row>
        <row r="28">
          <cell r="A28">
            <v>27</v>
          </cell>
          <cell r="B28" t="str">
            <v>UOT di Bari</v>
          </cell>
        </row>
        <row r="29">
          <cell r="A29">
            <v>28</v>
          </cell>
          <cell r="B29" t="str">
            <v>UOT di Biella</v>
          </cell>
        </row>
        <row r="30">
          <cell r="A30">
            <v>29</v>
          </cell>
          <cell r="B30" t="str">
            <v>UOT di Torino</v>
          </cell>
        </row>
        <row r="31">
          <cell r="A31">
            <v>30</v>
          </cell>
          <cell r="B31" t="str">
            <v>UOT di Sassari</v>
          </cell>
        </row>
        <row r="32">
          <cell r="A32">
            <v>31</v>
          </cell>
          <cell r="B32" t="str">
            <v>UOT di Cagliari</v>
          </cell>
        </row>
        <row r="33">
          <cell r="A33">
            <v>32</v>
          </cell>
          <cell r="B33" t="str">
            <v>UOT di Firenze</v>
          </cell>
        </row>
        <row r="34">
          <cell r="A34">
            <v>33</v>
          </cell>
          <cell r="B34" t="str">
            <v>UOT di Livorno</v>
          </cell>
        </row>
        <row r="35">
          <cell r="A35">
            <v>34</v>
          </cell>
          <cell r="B35" t="str">
            <v>UOT di Lucca</v>
          </cell>
        </row>
        <row r="36">
          <cell r="A36">
            <v>35</v>
          </cell>
          <cell r="B36" t="str">
            <v>UOT di Catania</v>
          </cell>
        </row>
        <row r="37">
          <cell r="A37">
            <v>36</v>
          </cell>
          <cell r="B37" t="str">
            <v>UOT di Messina</v>
          </cell>
        </row>
        <row r="38">
          <cell r="A38">
            <v>37</v>
          </cell>
          <cell r="B38" t="str">
            <v>DIT di ROMA</v>
          </cell>
        </row>
        <row r="39">
          <cell r="A39">
            <v>38</v>
          </cell>
          <cell r="B39" t="str">
            <v>DIT di CASILINO</v>
          </cell>
        </row>
        <row r="40">
          <cell r="A40">
            <v>39</v>
          </cell>
          <cell r="B40" t="str">
            <v>DIT di Monte Porzio Catone</v>
          </cell>
        </row>
      </sheetData>
      <sheetData sheetId="1"/>
      <sheetData sheetId="2"/>
      <sheetData sheetId="3"/>
      <sheetData sheetId="4"/>
      <sheetData sheetId="5">
        <row r="2">
          <cell r="D2">
            <v>1</v>
          </cell>
          <cell r="E2" t="str">
            <v>Direttore UOT</v>
          </cell>
        </row>
        <row r="3">
          <cell r="D3">
            <v>2</v>
          </cell>
          <cell r="E3" t="str">
            <v>Tecnologo</v>
          </cell>
        </row>
        <row r="4">
          <cell r="D4">
            <v>3</v>
          </cell>
          <cell r="E4" t="str">
            <v>Ricercatore</v>
          </cell>
        </row>
        <row r="5">
          <cell r="D5">
            <v>4</v>
          </cell>
          <cell r="E5" t="str">
            <v>CTER</v>
          </cell>
        </row>
        <row r="6">
          <cell r="D6">
            <v>5</v>
          </cell>
          <cell r="E6" t="str">
            <v>CTER con Incarico di Responsabilita'</v>
          </cell>
        </row>
        <row r="7">
          <cell r="D7">
            <v>6</v>
          </cell>
          <cell r="E7" t="str">
            <v>Operatore Tecnico</v>
          </cell>
        </row>
        <row r="8">
          <cell r="D8">
            <v>7</v>
          </cell>
          <cell r="E8" t="str">
            <v>Collaboratore Di Amministrazione</v>
          </cell>
        </row>
        <row r="9">
          <cell r="D9">
            <v>8</v>
          </cell>
          <cell r="E9" t="str">
            <v>Operatore Di Amministrazione</v>
          </cell>
        </row>
        <row r="10">
          <cell r="D10">
            <v>9</v>
          </cell>
          <cell r="E10" t="str">
            <v>Funzionario Amministrativo</v>
          </cell>
        </row>
        <row r="11">
          <cell r="D11">
            <v>10</v>
          </cell>
          <cell r="E11" t="str">
            <v>Dipendente</v>
          </cell>
        </row>
      </sheetData>
      <sheetData sheetId="6"/>
      <sheetData sheetId="7">
        <row r="2">
          <cell r="J2" t="str">
            <v>Attività di competenza</v>
          </cell>
        </row>
        <row r="3">
          <cell r="D3" t="str">
            <v>Alessandria</v>
          </cell>
          <cell r="F3" t="str">
            <v>Direttore UOT</v>
          </cell>
        </row>
        <row r="4">
          <cell r="D4" t="str">
            <v>Alessandria</v>
          </cell>
          <cell r="F4" t="str">
            <v>Tecnologo</v>
          </cell>
          <cell r="J4" t="str">
            <v>X</v>
          </cell>
          <cell r="L4" t="str">
            <v>X</v>
          </cell>
        </row>
        <row r="5">
          <cell r="D5" t="str">
            <v>Alessandria</v>
          </cell>
          <cell r="F5" t="str">
            <v>CTER</v>
          </cell>
          <cell r="J5" t="str">
            <v>X</v>
          </cell>
          <cell r="K5" t="str">
            <v>X</v>
          </cell>
          <cell r="L5" t="str">
            <v>X</v>
          </cell>
        </row>
        <row r="6">
          <cell r="D6" t="str">
            <v>Alessandria</v>
          </cell>
          <cell r="F6" t="str">
            <v>Operatore Tecnico</v>
          </cell>
          <cell r="M6" t="str">
            <v>X</v>
          </cell>
        </row>
        <row r="7">
          <cell r="D7" t="str">
            <v>Alessandria</v>
          </cell>
          <cell r="F7" t="str">
            <v>Operatore Tecnico</v>
          </cell>
        </row>
        <row r="8">
          <cell r="D8" t="str">
            <v>Alessandria</v>
          </cell>
          <cell r="F8" t="str">
            <v>Collaboratore Di Amministrazione</v>
          </cell>
        </row>
        <row r="9">
          <cell r="D9" t="str">
            <v>Ancona</v>
          </cell>
          <cell r="F9" t="str">
            <v>Direttore UOT</v>
          </cell>
        </row>
        <row r="10">
          <cell r="D10" t="str">
            <v>Ancona</v>
          </cell>
          <cell r="F10" t="str">
            <v>Ricercatore</v>
          </cell>
        </row>
        <row r="11">
          <cell r="D11" t="str">
            <v>Ancona</v>
          </cell>
          <cell r="F11" t="str">
            <v>CTER con Incarico di Responsabilita'</v>
          </cell>
        </row>
        <row r="12">
          <cell r="D12" t="str">
            <v>Ancona</v>
          </cell>
          <cell r="F12" t="str">
            <v>CTER</v>
          </cell>
        </row>
        <row r="13">
          <cell r="D13" t="str">
            <v>Ancona</v>
          </cell>
          <cell r="F13" t="str">
            <v>Funzionario Amministrativo</v>
          </cell>
        </row>
        <row r="14">
          <cell r="D14" t="str">
            <v>Aosta</v>
          </cell>
          <cell r="F14" t="str">
            <v>Direttore UOT</v>
          </cell>
          <cell r="K14" t="str">
            <v>X</v>
          </cell>
          <cell r="M14" t="str">
            <v>X</v>
          </cell>
          <cell r="P14" t="str">
            <v>Direttore della UOT di Torino e ad Interim di Aosta
D.Lgs 105/2015 (Ispezioni a RIR e Componente CTR)</v>
          </cell>
        </row>
        <row r="15">
          <cell r="D15" t="str">
            <v>Avellino</v>
          </cell>
          <cell r="F15" t="str">
            <v>Direttore UOT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P15" t="str">
            <v>Utilizzo parziale di MAZZOLI della CONTARP LOMBARDIA per RISCALDAMENTO_ SOLLEVAMENTO e TERRA. MAZZOLI non presente nei riferimenti UOT</v>
          </cell>
        </row>
        <row r="16">
          <cell r="D16" t="str">
            <v>Avellino</v>
          </cell>
          <cell r="F16" t="str">
            <v>Tecnologo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</row>
        <row r="17">
          <cell r="D17" t="str">
            <v>Avellino</v>
          </cell>
          <cell r="F17" t="str">
            <v>Tecnologo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</row>
        <row r="18">
          <cell r="D18" t="str">
            <v>Avellino</v>
          </cell>
          <cell r="F18" t="str">
            <v>Ricercatore</v>
          </cell>
        </row>
        <row r="19">
          <cell r="D19" t="str">
            <v>Avellino</v>
          </cell>
          <cell r="F19" t="str">
            <v>Ricercatore</v>
          </cell>
        </row>
        <row r="20">
          <cell r="D20" t="str">
            <v>Avellino</v>
          </cell>
          <cell r="F20" t="str">
            <v>CTER</v>
          </cell>
          <cell r="J20" t="str">
            <v>X</v>
          </cell>
          <cell r="K20" t="str">
            <v>X</v>
          </cell>
          <cell r="L20" t="str">
            <v>X</v>
          </cell>
          <cell r="M20" t="str">
            <v>X</v>
          </cell>
        </row>
        <row r="21">
          <cell r="D21" t="str">
            <v>Avellino</v>
          </cell>
          <cell r="F21" t="str">
            <v>CTER</v>
          </cell>
          <cell r="J21" t="str">
            <v>X</v>
          </cell>
          <cell r="L21" t="str">
            <v>X</v>
          </cell>
          <cell r="M21" t="str">
            <v>X</v>
          </cell>
        </row>
        <row r="22">
          <cell r="D22" t="str">
            <v>Avellino</v>
          </cell>
          <cell r="F22" t="str">
            <v>Operatore Tecnico</v>
          </cell>
        </row>
        <row r="23">
          <cell r="D23" t="str">
            <v>Avellino</v>
          </cell>
          <cell r="F23" t="str">
            <v>Operatore Tecnico</v>
          </cell>
        </row>
        <row r="24">
          <cell r="D24" t="str">
            <v>Avellino</v>
          </cell>
          <cell r="F24" t="str">
            <v>Operatore Tecnico</v>
          </cell>
        </row>
        <row r="25">
          <cell r="D25" t="str">
            <v>Avellino</v>
          </cell>
          <cell r="F25" t="str">
            <v>Collaboratore Di Amministrazione</v>
          </cell>
        </row>
        <row r="26">
          <cell r="D26" t="str">
            <v>Avellino</v>
          </cell>
          <cell r="F26" t="str">
            <v>Collaboratore Di Amministrazione</v>
          </cell>
        </row>
        <row r="27">
          <cell r="D27" t="str">
            <v>Avellino</v>
          </cell>
          <cell r="F27" t="str">
            <v>Collaboratore Di Amministrazione</v>
          </cell>
        </row>
        <row r="28">
          <cell r="D28" t="str">
            <v>Avellino</v>
          </cell>
          <cell r="F28" t="str">
            <v>Collaboratore Di Amministrazione</v>
          </cell>
        </row>
        <row r="29">
          <cell r="D29" t="str">
            <v>Avellino</v>
          </cell>
          <cell r="F29" t="str">
            <v>Operatore Di Amministrazione</v>
          </cell>
        </row>
        <row r="30">
          <cell r="D30" t="str">
            <v>Avellino</v>
          </cell>
          <cell r="F30" t="str">
            <v>Operatore Di Amministrazione</v>
          </cell>
        </row>
        <row r="31">
          <cell r="D31" t="str">
            <v>Avellino</v>
          </cell>
          <cell r="F31" t="str">
            <v>Operatore Di Amministrazione</v>
          </cell>
        </row>
        <row r="32">
          <cell r="D32" t="str">
            <v>Avellino</v>
          </cell>
          <cell r="F32" t="str">
            <v>Funzionario Amministrativo</v>
          </cell>
        </row>
        <row r="33">
          <cell r="D33" t="str">
            <v>Bari</v>
          </cell>
          <cell r="F33" t="str">
            <v>Direttore UOT</v>
          </cell>
          <cell r="J33" t="str">
            <v>X</v>
          </cell>
          <cell r="K33" t="str">
            <v>X</v>
          </cell>
          <cell r="M33" t="str">
            <v>X</v>
          </cell>
        </row>
        <row r="34">
          <cell r="D34" t="str">
            <v>Bari</v>
          </cell>
          <cell r="F34" t="str">
            <v>Tecnologo</v>
          </cell>
          <cell r="K34" t="str">
            <v>X</v>
          </cell>
        </row>
        <row r="35">
          <cell r="D35" t="str">
            <v>Bari</v>
          </cell>
          <cell r="F35" t="str">
            <v>Tecnologo</v>
          </cell>
          <cell r="J35" t="str">
            <v>X</v>
          </cell>
          <cell r="L35" t="str">
            <v>X</v>
          </cell>
          <cell r="P35" t="str">
            <v>Possiede anche la competenza data dal Art. 6 DM 329/04</v>
          </cell>
        </row>
        <row r="36">
          <cell r="D36" t="str">
            <v>Bari</v>
          </cell>
          <cell r="F36" t="str">
            <v>Tecnologo</v>
          </cell>
          <cell r="K36" t="str">
            <v>X</v>
          </cell>
          <cell r="P36" t="str">
            <v>Possiede anche la competenza data dal Art. 6 DM 329/04</v>
          </cell>
        </row>
        <row r="37">
          <cell r="D37" t="str">
            <v>Bari</v>
          </cell>
          <cell r="F37" t="str">
            <v>Tecnologo</v>
          </cell>
          <cell r="J37" t="str">
            <v>X</v>
          </cell>
          <cell r="K37" t="str">
            <v>X</v>
          </cell>
          <cell r="L37" t="str">
            <v>X</v>
          </cell>
          <cell r="P37" t="str">
            <v>Possiede anche la competenza data dal Art. 6 DM 329/04</v>
          </cell>
        </row>
        <row r="38">
          <cell r="D38" t="str">
            <v>Bari</v>
          </cell>
          <cell r="F38" t="str">
            <v>Tecnologo</v>
          </cell>
          <cell r="K38" t="str">
            <v>X</v>
          </cell>
          <cell r="P38" t="str">
            <v>Possiede anche la competenza data dal Art. 6 DM 329/04</v>
          </cell>
        </row>
        <row r="39">
          <cell r="D39" t="str">
            <v>Bari</v>
          </cell>
          <cell r="F39" t="str">
            <v>Ricercatore</v>
          </cell>
          <cell r="J39" t="str">
            <v>X</v>
          </cell>
          <cell r="P39" t="str">
            <v>Possiede anche la competenza data dal Art. 6 DM 329/04</v>
          </cell>
        </row>
        <row r="40">
          <cell r="D40" t="str">
            <v>Bari</v>
          </cell>
          <cell r="F40" t="str">
            <v>CTER con Incarico di Responsabilita'</v>
          </cell>
        </row>
        <row r="41">
          <cell r="D41" t="str">
            <v>Bari</v>
          </cell>
          <cell r="F41" t="str">
            <v>CTER</v>
          </cell>
          <cell r="K41" t="str">
            <v>X</v>
          </cell>
          <cell r="L41" t="str">
            <v>X</v>
          </cell>
        </row>
        <row r="42">
          <cell r="D42" t="str">
            <v>Bari</v>
          </cell>
          <cell r="F42" t="str">
            <v>CTER</v>
          </cell>
          <cell r="K42" t="str">
            <v>X</v>
          </cell>
          <cell r="L42" t="str">
            <v>X</v>
          </cell>
        </row>
        <row r="43">
          <cell r="D43" t="str">
            <v>Bari</v>
          </cell>
          <cell r="F43" t="str">
            <v>Collaboratore Di Amministrazione</v>
          </cell>
        </row>
        <row r="44">
          <cell r="D44" t="str">
            <v>Bari</v>
          </cell>
          <cell r="F44" t="str">
            <v>Collaboratore Di Amministrazione</v>
          </cell>
        </row>
        <row r="45">
          <cell r="D45" t="str">
            <v>Bari</v>
          </cell>
          <cell r="F45" t="str">
            <v>Collaboratore Di Amministrazione</v>
          </cell>
        </row>
        <row r="46">
          <cell r="D46" t="str">
            <v>Bari</v>
          </cell>
          <cell r="F46" t="str">
            <v>Operatore Di Amministrazione</v>
          </cell>
        </row>
        <row r="47">
          <cell r="D47" t="str">
            <v>Bergamo</v>
          </cell>
          <cell r="F47" t="str">
            <v>Direttore UOT</v>
          </cell>
          <cell r="J47" t="str">
            <v>X</v>
          </cell>
          <cell r="K47" t="str">
            <v>X</v>
          </cell>
        </row>
        <row r="48">
          <cell r="D48" t="str">
            <v>Bergamo</v>
          </cell>
          <cell r="F48" t="str">
            <v>CTER</v>
          </cell>
          <cell r="J48" t="str">
            <v>X</v>
          </cell>
        </row>
        <row r="49">
          <cell r="D49" t="str">
            <v>Bergamo</v>
          </cell>
          <cell r="F49" t="str">
            <v>CTER</v>
          </cell>
          <cell r="J49" t="str">
            <v>X</v>
          </cell>
        </row>
        <row r="50">
          <cell r="D50" t="str">
            <v>Bergamo</v>
          </cell>
          <cell r="F50" t="str">
            <v>CTER</v>
          </cell>
          <cell r="K50" t="str">
            <v>X</v>
          </cell>
        </row>
        <row r="51">
          <cell r="D51" t="str">
            <v>Bergamo</v>
          </cell>
          <cell r="F51" t="str">
            <v>CTER</v>
          </cell>
          <cell r="K51" t="str">
            <v>X</v>
          </cell>
          <cell r="M51" t="str">
            <v>X</v>
          </cell>
        </row>
        <row r="52">
          <cell r="D52" t="str">
            <v>Bergamo</v>
          </cell>
          <cell r="F52" t="str">
            <v>Collaboratore Di Amministrazione</v>
          </cell>
        </row>
        <row r="53">
          <cell r="D53" t="str">
            <v>Bergamo</v>
          </cell>
          <cell r="F53" t="str">
            <v>Collaboratore Di Amministrazione</v>
          </cell>
        </row>
        <row r="54">
          <cell r="D54" t="str">
            <v>Bergamo</v>
          </cell>
          <cell r="F54" t="str">
            <v>Collaboratore Di Amministrazione</v>
          </cell>
        </row>
        <row r="55">
          <cell r="D55" t="str">
            <v>Biella</v>
          </cell>
          <cell r="F55" t="str">
            <v>Direttore UOT</v>
          </cell>
          <cell r="J55" t="str">
            <v>X</v>
          </cell>
          <cell r="K55" t="str">
            <v>X</v>
          </cell>
        </row>
        <row r="56">
          <cell r="D56" t="str">
            <v>Biella</v>
          </cell>
          <cell r="F56" t="str">
            <v>CTER</v>
          </cell>
          <cell r="J56" t="str">
            <v>X</v>
          </cell>
          <cell r="L56" t="str">
            <v>X</v>
          </cell>
          <cell r="P56" t="str">
            <v>PRESSIONE: limitatamente ad apparecchi semplici e criogenici</v>
          </cell>
        </row>
        <row r="57">
          <cell r="D57" t="str">
            <v>Biella</v>
          </cell>
          <cell r="F57" t="str">
            <v>Operatore Tecnico</v>
          </cell>
        </row>
        <row r="58">
          <cell r="D58" t="str">
            <v>Biella</v>
          </cell>
          <cell r="F58" t="str">
            <v>Collaboratore Di Amministrazione</v>
          </cell>
        </row>
        <row r="59">
          <cell r="D59" t="str">
            <v>Bologna</v>
          </cell>
          <cell r="F59" t="str">
            <v>Direttore UOT</v>
          </cell>
          <cell r="P59" t="str">
            <v>NOTA per UOT di Bologna da parte del Direttore (aggiornamento del 24/05/2024): 
Nonostante l’assenza di verifiche a campione di Impianti di terra e protezione dalle scariche atmosferiche_il settore maggiormente in sofferenza è quello degli Apparecchi a Pr</v>
          </cell>
        </row>
        <row r="60">
          <cell r="D60" t="str">
            <v>Bologna</v>
          </cell>
          <cell r="F60" t="str">
            <v>Tecnologo</v>
          </cell>
          <cell r="K60" t="str">
            <v>X</v>
          </cell>
          <cell r="L60" t="str">
            <v>X</v>
          </cell>
        </row>
        <row r="61">
          <cell r="D61" t="str">
            <v>Bologna</v>
          </cell>
          <cell r="F61" t="str">
            <v>Tecnologo</v>
          </cell>
          <cell r="J61" t="str">
            <v>X</v>
          </cell>
          <cell r="K61" t="str">
            <v>X</v>
          </cell>
          <cell r="L61" t="str">
            <v>X</v>
          </cell>
          <cell r="P61" t="str">
            <v xml:space="preserve">Da settembre 2024 (data presunta) trasferimento presso UOT di Firenze </v>
          </cell>
        </row>
        <row r="62">
          <cell r="D62" t="str">
            <v>Bologna</v>
          </cell>
          <cell r="F62" t="str">
            <v>Tecnologo</v>
          </cell>
          <cell r="K62" t="str">
            <v>X</v>
          </cell>
          <cell r="L62" t="str">
            <v>X</v>
          </cell>
        </row>
        <row r="63">
          <cell r="D63" t="str">
            <v>Bologna</v>
          </cell>
          <cell r="F63" t="str">
            <v>Ricercatore</v>
          </cell>
          <cell r="J63" t="str">
            <v>X</v>
          </cell>
        </row>
        <row r="64">
          <cell r="D64" t="str">
            <v>Bologna</v>
          </cell>
          <cell r="F64" t="str">
            <v>Ricercatore</v>
          </cell>
          <cell r="J64" t="str">
            <v>X</v>
          </cell>
          <cell r="L64" t="str">
            <v>X</v>
          </cell>
        </row>
        <row r="65">
          <cell r="D65" t="str">
            <v>Bologna</v>
          </cell>
          <cell r="F65" t="str">
            <v>CTER</v>
          </cell>
          <cell r="J65" t="str">
            <v>X</v>
          </cell>
          <cell r="P65" t="str">
            <v>N.B. effettua ridotta ed esclusiva attività di esame progetto degli Impianti di Riscaldamento_in quanto esonerato dalle verifiche esterne dal medico competente per motivi di salute</v>
          </cell>
        </row>
        <row r="66">
          <cell r="D66" t="str">
            <v>Bologna</v>
          </cell>
          <cell r="F66" t="str">
            <v>Collaboratore Di Amministrazione</v>
          </cell>
        </row>
        <row r="67">
          <cell r="D67" t="str">
            <v>Bologna</v>
          </cell>
          <cell r="F67" t="str">
            <v>Collaboratore Di Amministrazione</v>
          </cell>
        </row>
        <row r="68">
          <cell r="D68" t="str">
            <v>Bologna</v>
          </cell>
          <cell r="F68" t="str">
            <v>Collaboratore Di Amministrazione</v>
          </cell>
        </row>
        <row r="69">
          <cell r="D69" t="str">
            <v>Bolzano</v>
          </cell>
          <cell r="F69" t="str">
            <v>Direttore UOT</v>
          </cell>
          <cell r="J69" t="str">
            <v>X</v>
          </cell>
          <cell r="L69" t="str">
            <v>X</v>
          </cell>
          <cell r="P69" t="str">
            <v>Il Direttore conferma il 17/05/2024 che presso la UOT di Bolzano è presnete un solo tecnico per le Verifiche</v>
          </cell>
        </row>
        <row r="70">
          <cell r="D70" t="str">
            <v>Brescia</v>
          </cell>
          <cell r="F70" t="str">
            <v>Direttore UOT</v>
          </cell>
          <cell r="J70" t="str">
            <v>X</v>
          </cell>
          <cell r="K70" t="str">
            <v>X</v>
          </cell>
          <cell r="L70" t="str">
            <v>X</v>
          </cell>
        </row>
        <row r="71">
          <cell r="D71" t="str">
            <v>Brescia</v>
          </cell>
          <cell r="F71" t="str">
            <v>Tecnologo</v>
          </cell>
          <cell r="J71" t="str">
            <v>X</v>
          </cell>
          <cell r="K71" t="str">
            <v>X</v>
          </cell>
          <cell r="L71" t="str">
            <v>X</v>
          </cell>
        </row>
        <row r="72">
          <cell r="D72" t="str">
            <v>Brescia</v>
          </cell>
          <cell r="F72" t="str">
            <v>Tecnologo</v>
          </cell>
          <cell r="J72" t="str">
            <v>X</v>
          </cell>
          <cell r="K72" t="str">
            <v>X</v>
          </cell>
          <cell r="L72" t="str">
            <v>X</v>
          </cell>
        </row>
        <row r="73">
          <cell r="D73" t="str">
            <v>Brescia</v>
          </cell>
          <cell r="F73" t="str">
            <v>CTER</v>
          </cell>
          <cell r="J73" t="str">
            <v>X</v>
          </cell>
          <cell r="K73" t="str">
            <v>X</v>
          </cell>
          <cell r="L73" t="str">
            <v>X</v>
          </cell>
        </row>
        <row r="74">
          <cell r="D74" t="str">
            <v>Brescia</v>
          </cell>
          <cell r="F74" t="str">
            <v>Operatore Di Amministrazione</v>
          </cell>
        </row>
        <row r="75">
          <cell r="D75" t="str">
            <v>Cagliari</v>
          </cell>
          <cell r="F75" t="str">
            <v>Direttore UOT</v>
          </cell>
          <cell r="J75" t="str">
            <v>X</v>
          </cell>
          <cell r="K75" t="str">
            <v>X</v>
          </cell>
          <cell r="L75" t="str">
            <v>X</v>
          </cell>
        </row>
        <row r="76">
          <cell r="D76" t="str">
            <v>Cagliari</v>
          </cell>
          <cell r="F76" t="str">
            <v>Tecnologo</v>
          </cell>
          <cell r="J76" t="str">
            <v>X</v>
          </cell>
          <cell r="L76" t="str">
            <v>X</v>
          </cell>
        </row>
        <row r="77">
          <cell r="D77" t="str">
            <v>Cagliari</v>
          </cell>
          <cell r="F77" t="str">
            <v>Tecnologo</v>
          </cell>
          <cell r="J77" t="str">
            <v>X</v>
          </cell>
          <cell r="K77" t="str">
            <v>X</v>
          </cell>
          <cell r="M77" t="str">
            <v>X</v>
          </cell>
        </row>
        <row r="78">
          <cell r="D78" t="str">
            <v>Cagliari</v>
          </cell>
          <cell r="F78" t="str">
            <v>Tecnologo</v>
          </cell>
          <cell r="J78" t="str">
            <v>X</v>
          </cell>
        </row>
        <row r="79">
          <cell r="D79" t="str">
            <v>Cagliari</v>
          </cell>
          <cell r="F79" t="str">
            <v>CTER</v>
          </cell>
          <cell r="J79" t="str">
            <v>X</v>
          </cell>
          <cell r="L79" t="str">
            <v>X</v>
          </cell>
        </row>
        <row r="80">
          <cell r="D80" t="str">
            <v>Cagliari</v>
          </cell>
          <cell r="F80" t="str">
            <v>CTER</v>
          </cell>
          <cell r="P80" t="str">
            <v>solo attività amministrativa</v>
          </cell>
        </row>
        <row r="81">
          <cell r="D81" t="str">
            <v>Cagliari</v>
          </cell>
          <cell r="F81" t="str">
            <v>Collaboratore Di Amministrazione</v>
          </cell>
        </row>
        <row r="82">
          <cell r="D82" t="str">
            <v>Cagliari</v>
          </cell>
          <cell r="F82" t="str">
            <v>Collaboratore Di Amministrazione</v>
          </cell>
        </row>
        <row r="83">
          <cell r="D83" t="str">
            <v>Cagliari</v>
          </cell>
          <cell r="F83" t="str">
            <v>Collaboratore Di Amministrazione</v>
          </cell>
        </row>
        <row r="84">
          <cell r="D84" t="str">
            <v>Cagliari</v>
          </cell>
          <cell r="F84" t="str">
            <v>Operatore Di Amministrazione</v>
          </cell>
        </row>
        <row r="85">
          <cell r="D85" t="str">
            <v>Campobasso</v>
          </cell>
          <cell r="F85" t="str">
            <v>Direttore UOT</v>
          </cell>
          <cell r="J85" t="str">
            <v>X</v>
          </cell>
          <cell r="K85" t="str">
            <v>X</v>
          </cell>
          <cell r="L85" t="str">
            <v>X</v>
          </cell>
          <cell r="M85" t="str">
            <v>X</v>
          </cell>
        </row>
        <row r="86">
          <cell r="D86" t="str">
            <v>Campobasso</v>
          </cell>
          <cell r="F86" t="str">
            <v>Tecnologo</v>
          </cell>
          <cell r="K86" t="str">
            <v>X</v>
          </cell>
          <cell r="L86" t="str">
            <v>X</v>
          </cell>
        </row>
        <row r="87">
          <cell r="D87" t="str">
            <v>Campobasso</v>
          </cell>
          <cell r="F87" t="str">
            <v>Ricercatore</v>
          </cell>
        </row>
        <row r="88">
          <cell r="D88" t="str">
            <v>Campobasso</v>
          </cell>
          <cell r="F88" t="str">
            <v>Collaboratore Di Amministrazione</v>
          </cell>
        </row>
        <row r="89">
          <cell r="D89" t="str">
            <v>Catania</v>
          </cell>
          <cell r="F89" t="str">
            <v>Direttore UOT</v>
          </cell>
        </row>
        <row r="90">
          <cell r="D90" t="str">
            <v>Catania</v>
          </cell>
          <cell r="F90" t="str">
            <v>Tecnologo</v>
          </cell>
        </row>
        <row r="91">
          <cell r="D91" t="str">
            <v>Catania</v>
          </cell>
          <cell r="F91" t="str">
            <v>Tecnologo</v>
          </cell>
        </row>
        <row r="92">
          <cell r="D92" t="str">
            <v>Catania</v>
          </cell>
          <cell r="F92" t="str">
            <v>Tecnologo</v>
          </cell>
        </row>
        <row r="93">
          <cell r="D93" t="str">
            <v>Catania</v>
          </cell>
          <cell r="F93" t="str">
            <v>Ricercatore</v>
          </cell>
        </row>
        <row r="94">
          <cell r="D94" t="str">
            <v>Catania</v>
          </cell>
          <cell r="F94" t="str">
            <v>CTER</v>
          </cell>
        </row>
        <row r="95">
          <cell r="D95" t="str">
            <v>Catania</v>
          </cell>
          <cell r="F95" t="str">
            <v>CTER</v>
          </cell>
        </row>
        <row r="96">
          <cell r="D96" t="str">
            <v>Catania</v>
          </cell>
          <cell r="F96" t="str">
            <v>CTER</v>
          </cell>
        </row>
        <row r="97">
          <cell r="D97" t="str">
            <v>Catania</v>
          </cell>
          <cell r="F97" t="str">
            <v>CTER</v>
          </cell>
        </row>
        <row r="98">
          <cell r="D98" t="str">
            <v>Catania</v>
          </cell>
          <cell r="F98" t="str">
            <v>CTER</v>
          </cell>
        </row>
        <row r="99">
          <cell r="D99" t="str">
            <v>Catania</v>
          </cell>
          <cell r="F99" t="str">
            <v>Collaboratore Di Amministrazione</v>
          </cell>
        </row>
        <row r="100">
          <cell r="D100" t="str">
            <v>Catania</v>
          </cell>
          <cell r="F100" t="str">
            <v>Collaboratore Di Amministrazione</v>
          </cell>
        </row>
        <row r="101">
          <cell r="D101" t="str">
            <v>Catania</v>
          </cell>
          <cell r="F101" t="str">
            <v>Operatore Di Amministrazione</v>
          </cell>
        </row>
        <row r="102">
          <cell r="D102" t="str">
            <v>Catania</v>
          </cell>
          <cell r="F102" t="str">
            <v>Operatore Di Amministrazione</v>
          </cell>
        </row>
        <row r="103">
          <cell r="D103" t="str">
            <v>Catanzaro</v>
          </cell>
          <cell r="F103" t="str">
            <v>Direttore UOT</v>
          </cell>
          <cell r="J103" t="str">
            <v>X</v>
          </cell>
          <cell r="K103" t="str">
            <v>X</v>
          </cell>
          <cell r="L103" t="str">
            <v>X</v>
          </cell>
          <cell r="M103" t="str">
            <v>X</v>
          </cell>
          <cell r="P103" t="str">
            <v xml:space="preserve">PRESSIONE: Messa in servizio_ PVP_ riparazioni_ PED completa_ riqualificazione TPED
RISCALDAMENTO: esami progetto e omologazione_ approvazioone prototipi generatori modulari
SOLLEVAMENTO: PVP di Ascensori di cantiere e di tutte le tipologie di gru. Esame </v>
          </cell>
        </row>
        <row r="104">
          <cell r="D104" t="str">
            <v>Catanzaro</v>
          </cell>
          <cell r="F104" t="str">
            <v>Tecnologo</v>
          </cell>
          <cell r="K104" t="str">
            <v>X</v>
          </cell>
          <cell r="L104" t="str">
            <v>X</v>
          </cell>
          <cell r="P104" t="str">
            <v xml:space="preserve">RISCALDAMENTO: esami progetto e omologazione
SOLLEVAMENTO: PVP di gru su autocarro_ autogru_ carroponti_ bandiera_ torre </v>
          </cell>
        </row>
        <row r="105">
          <cell r="D105" t="str">
            <v>Catanzaro</v>
          </cell>
          <cell r="F105" t="str">
            <v>Tecnologo</v>
          </cell>
          <cell r="J105" t="str">
            <v>X</v>
          </cell>
          <cell r="K105" t="str">
            <v>X</v>
          </cell>
          <cell r="P105" t="str">
            <v>PRESSIONE: Messa in servizio_ PVP_ riparazioni_ decennali GPL
SOLLEVAMENTO: PVP di Ascensori di cantiere</v>
          </cell>
        </row>
        <row r="106">
          <cell r="D106" t="str">
            <v>Catanzaro</v>
          </cell>
          <cell r="F106" t="str">
            <v>Ricercatore</v>
          </cell>
        </row>
        <row r="107">
          <cell r="D107" t="str">
            <v>Catanzaro</v>
          </cell>
          <cell r="F107" t="str">
            <v>CTER</v>
          </cell>
        </row>
        <row r="108">
          <cell r="D108" t="str">
            <v>Catanzaro</v>
          </cell>
          <cell r="F108" t="str">
            <v>CTER</v>
          </cell>
          <cell r="J108" t="str">
            <v>X</v>
          </cell>
          <cell r="K108" t="str">
            <v>X</v>
          </cell>
          <cell r="M108" t="str">
            <v>X</v>
          </cell>
          <cell r="P108" t="str">
            <v>PRESSIONE: Taratura VDS
SOLLEVAMENTO: PVP di tutte le tipologie di gru
TERRE: Verifiche a campione di impianti M/T fino a 1000 V. Impianti sca/atm</v>
          </cell>
        </row>
        <row r="109">
          <cell r="D109" t="str">
            <v>Catanzaro</v>
          </cell>
          <cell r="F109" t="str">
            <v>CTER</v>
          </cell>
          <cell r="J109" t="str">
            <v>X</v>
          </cell>
          <cell r="P109" t="str">
            <v>PRESSIONE: Taratura VDS_ riqualificazione TPED_ decennali GPL</v>
          </cell>
        </row>
        <row r="110">
          <cell r="D110" t="str">
            <v>Catanzaro</v>
          </cell>
          <cell r="F110" t="str">
            <v>Collaboratore Di Amministrazione</v>
          </cell>
        </row>
        <row r="111">
          <cell r="D111" t="str">
            <v>Catanzaro</v>
          </cell>
          <cell r="F111" t="str">
            <v>Collaboratore Di Amministrazione</v>
          </cell>
        </row>
        <row r="112">
          <cell r="D112" t="str">
            <v>Catanzaro</v>
          </cell>
          <cell r="F112" t="str">
            <v>Collaboratore Di Amministrazione</v>
          </cell>
        </row>
        <row r="113">
          <cell r="D113" t="str">
            <v>Catanzaro</v>
          </cell>
          <cell r="F113" t="str">
            <v>Collaboratore Di Amministrazione</v>
          </cell>
        </row>
        <row r="114">
          <cell r="D114" t="str">
            <v>Catanzaro</v>
          </cell>
          <cell r="F114" t="str">
            <v>Operatore Di Amministrazione</v>
          </cell>
        </row>
        <row r="115">
          <cell r="D115" t="str">
            <v>Como</v>
          </cell>
          <cell r="F115" t="str">
            <v>Direttore UOT</v>
          </cell>
          <cell r="J115" t="str">
            <v>X</v>
          </cell>
          <cell r="K115" t="str">
            <v>X</v>
          </cell>
          <cell r="L115" t="str">
            <v>X</v>
          </cell>
          <cell r="M115" t="str">
            <v>X</v>
          </cell>
          <cell r="P115" t="str">
            <v>Ispettore Seveso</v>
          </cell>
        </row>
        <row r="116">
          <cell r="D116" t="str">
            <v>Como</v>
          </cell>
          <cell r="F116" t="str">
            <v>Tecnologo</v>
          </cell>
          <cell r="J116" t="str">
            <v>X</v>
          </cell>
          <cell r="K116" t="str">
            <v>X</v>
          </cell>
          <cell r="L116" t="str">
            <v>X</v>
          </cell>
          <cell r="M116" t="str">
            <v>X</v>
          </cell>
          <cell r="P116" t="str">
            <v>Ispettore Seveso</v>
          </cell>
        </row>
        <row r="117">
          <cell r="D117" t="str">
            <v>Como</v>
          </cell>
          <cell r="F117" t="str">
            <v>CTER con Incarico di Responsabilita'</v>
          </cell>
          <cell r="J117" t="str">
            <v>X</v>
          </cell>
          <cell r="L117" t="str">
            <v>X</v>
          </cell>
          <cell r="P117" t="str">
            <v>Ispettore Seveso</v>
          </cell>
        </row>
        <row r="118">
          <cell r="D118" t="str">
            <v>Como</v>
          </cell>
          <cell r="F118" t="str">
            <v>CTER</v>
          </cell>
          <cell r="J118" t="str">
            <v>X</v>
          </cell>
          <cell r="L118" t="str">
            <v>X</v>
          </cell>
          <cell r="P118" t="str">
            <v>Ispettore Seveso</v>
          </cell>
        </row>
        <row r="119">
          <cell r="D119" t="str">
            <v>Como</v>
          </cell>
          <cell r="F119" t="str">
            <v>Operatore Tecnico</v>
          </cell>
          <cell r="M119" t="str">
            <v>X</v>
          </cell>
        </row>
        <row r="120">
          <cell r="D120" t="str">
            <v>Como</v>
          </cell>
          <cell r="F120" t="str">
            <v>Operatore Tecnico</v>
          </cell>
          <cell r="K120" t="str">
            <v>X</v>
          </cell>
        </row>
        <row r="121">
          <cell r="D121" t="str">
            <v>Como</v>
          </cell>
          <cell r="F121" t="str">
            <v>Collaboratore Di Amministrazione</v>
          </cell>
          <cell r="J121" t="str">
            <v>X</v>
          </cell>
          <cell r="K121" t="str">
            <v>X</v>
          </cell>
          <cell r="L121" t="str">
            <v>X</v>
          </cell>
          <cell r="M121" t="str">
            <v>X</v>
          </cell>
        </row>
        <row r="122">
          <cell r="D122" t="str">
            <v>Como</v>
          </cell>
          <cell r="F122" t="str">
            <v>Collaboratore Di Amministrazione</v>
          </cell>
          <cell r="J122" t="str">
            <v>X</v>
          </cell>
          <cell r="K122" t="str">
            <v>X</v>
          </cell>
          <cell r="L122" t="str">
            <v>X</v>
          </cell>
          <cell r="M122" t="str">
            <v>X</v>
          </cell>
        </row>
        <row r="123">
          <cell r="D123" t="str">
            <v>Como</v>
          </cell>
          <cell r="F123" t="str">
            <v>Operatore Di Amministrazione</v>
          </cell>
          <cell r="P123" t="str">
            <v>Centralino</v>
          </cell>
        </row>
        <row r="124">
          <cell r="D124" t="str">
            <v>Firenze</v>
          </cell>
          <cell r="F124" t="str">
            <v>Direttore UOT</v>
          </cell>
          <cell r="J124" t="str">
            <v>X</v>
          </cell>
          <cell r="L124" t="str">
            <v>X</v>
          </cell>
          <cell r="P124" t="str">
            <v>RISCALDAMENTO: al momento attività sospesa
NOTA DEL Direttore della UOT: comunico di ricevere assistenza tecnica per le dichiarazioni di messa in servizio di apparecchi semplici a pressione (art. 5.1.c) e per le dichiarazioni di messa in servizio di serba</v>
          </cell>
        </row>
        <row r="125">
          <cell r="D125" t="str">
            <v>Firenze</v>
          </cell>
          <cell r="F125" t="str">
            <v>Tecnologo</v>
          </cell>
          <cell r="J125" t="str">
            <v>X</v>
          </cell>
          <cell r="L125" t="str">
            <v>X</v>
          </cell>
        </row>
        <row r="126">
          <cell r="D126" t="str">
            <v>Firenze</v>
          </cell>
          <cell r="F126" t="str">
            <v>Tecnologo</v>
          </cell>
          <cell r="J126" t="str">
            <v>X</v>
          </cell>
          <cell r="K126" t="str">
            <v>X</v>
          </cell>
          <cell r="L126" t="str">
            <v>X</v>
          </cell>
          <cell r="P126" t="str">
            <v>SOLLEVAMENTO: al momento attività sospesa
PRESSIONE: in formazione</v>
          </cell>
        </row>
        <row r="127">
          <cell r="D127" t="str">
            <v>Firenze</v>
          </cell>
          <cell r="F127" t="str">
            <v>Tecnologo</v>
          </cell>
          <cell r="J127" t="str">
            <v>X</v>
          </cell>
          <cell r="K127" t="str">
            <v>X</v>
          </cell>
          <cell r="L127" t="str">
            <v>X</v>
          </cell>
          <cell r="P127" t="str">
            <v>SOLLEVAMENTO: al momento attività sospesa
PRESSIONE: in formazione</v>
          </cell>
        </row>
        <row r="128">
          <cell r="D128" t="str">
            <v>Firenze</v>
          </cell>
          <cell r="F128" t="str">
            <v>Ricercatore</v>
          </cell>
        </row>
        <row r="129">
          <cell r="D129" t="str">
            <v>Firenze</v>
          </cell>
          <cell r="F129" t="str">
            <v>CTER</v>
          </cell>
          <cell r="K129" t="str">
            <v>X</v>
          </cell>
          <cell r="L129" t="str">
            <v>X</v>
          </cell>
          <cell r="M129" t="str">
            <v>X</v>
          </cell>
          <cell r="P129" t="str">
            <v>RISCALDAMENTO: in formazione 
TERRE: in attesa di corso di aggiornamento</v>
          </cell>
        </row>
        <row r="130">
          <cell r="D130" t="str">
            <v>Firenze</v>
          </cell>
          <cell r="F130" t="str">
            <v>Collaboratore Di Amministrazione</v>
          </cell>
        </row>
        <row r="131">
          <cell r="D131" t="str">
            <v>Firenze</v>
          </cell>
          <cell r="F131" t="str">
            <v>Collaboratore Di Amministrazione</v>
          </cell>
        </row>
        <row r="132">
          <cell r="D132" t="str">
            <v>Firenze</v>
          </cell>
          <cell r="F132" t="str">
            <v>Operatore Di Amministrazione</v>
          </cell>
        </row>
        <row r="133">
          <cell r="D133" t="str">
            <v>Firenze</v>
          </cell>
          <cell r="F133" t="str">
            <v>Operatore Di Amministrazione</v>
          </cell>
        </row>
        <row r="134">
          <cell r="D134" t="str">
            <v>Forli'</v>
          </cell>
          <cell r="F134" t="str">
            <v>Direttore UOT</v>
          </cell>
          <cell r="J134" t="str">
            <v>X</v>
          </cell>
          <cell r="M134" t="str">
            <v>X</v>
          </cell>
          <cell r="P134" t="str">
            <v>Il Direttore comunica che le competenze indicate per il personale in forza alla UOT sono competenze utilizzate principalmente per…</v>
          </cell>
        </row>
        <row r="135">
          <cell r="D135" t="str">
            <v>Forli'</v>
          </cell>
          <cell r="F135" t="str">
            <v>Tecnologo</v>
          </cell>
          <cell r="J135" t="str">
            <v>X</v>
          </cell>
          <cell r="K135" t="str">
            <v>X</v>
          </cell>
        </row>
        <row r="136">
          <cell r="D136" t="str">
            <v>Forli'</v>
          </cell>
          <cell r="F136" t="str">
            <v>CTER con Incarico di Responsabilita'</v>
          </cell>
          <cell r="J136" t="str">
            <v>X</v>
          </cell>
          <cell r="K136" t="str">
            <v>X</v>
          </cell>
          <cell r="L136" t="str">
            <v>X</v>
          </cell>
        </row>
        <row r="137">
          <cell r="D137" t="str">
            <v>Forli'</v>
          </cell>
          <cell r="F137" t="str">
            <v>Collaboratore Di Amministrazione</v>
          </cell>
        </row>
        <row r="138">
          <cell r="D138" t="str">
            <v>Forli'</v>
          </cell>
          <cell r="F138" t="str">
            <v>Collaboratore Di Amministrazione</v>
          </cell>
        </row>
        <row r="139">
          <cell r="D139" t="str">
            <v>Forli'</v>
          </cell>
          <cell r="F139" t="str">
            <v>Collaboratore Di Amministrazione</v>
          </cell>
        </row>
        <row r="140">
          <cell r="D140" t="str">
            <v>Genova</v>
          </cell>
          <cell r="F140" t="str">
            <v>Direttore UOT</v>
          </cell>
        </row>
        <row r="141">
          <cell r="D141" t="str">
            <v>Genova</v>
          </cell>
          <cell r="F141" t="str">
            <v>Tecnologo</v>
          </cell>
          <cell r="J141" t="str">
            <v>X</v>
          </cell>
          <cell r="K141" t="str">
            <v>X</v>
          </cell>
          <cell r="L141" t="str">
            <v>X</v>
          </cell>
        </row>
        <row r="142">
          <cell r="D142" t="str">
            <v>Genova</v>
          </cell>
          <cell r="F142" t="str">
            <v>CTER</v>
          </cell>
          <cell r="P142" t="str">
            <v>in pensione da luglio 2024</v>
          </cell>
        </row>
        <row r="143">
          <cell r="D143" t="str">
            <v>Genova</v>
          </cell>
          <cell r="F143" t="str">
            <v>Collaboratore Di Amministrazione</v>
          </cell>
        </row>
        <row r="144">
          <cell r="D144" t="str">
            <v>Genova</v>
          </cell>
          <cell r="F144" t="str">
            <v>Collaboratore Di Amministrazione</v>
          </cell>
        </row>
        <row r="145">
          <cell r="D145" t="str">
            <v>Genova</v>
          </cell>
          <cell r="F145" t="str">
            <v>Collaboratore Di Amministrazione</v>
          </cell>
        </row>
        <row r="146">
          <cell r="D146" t="str">
            <v>Livorno</v>
          </cell>
          <cell r="F146" t="str">
            <v>Direttore UOT</v>
          </cell>
        </row>
        <row r="147">
          <cell r="D147" t="str">
            <v>Livorno</v>
          </cell>
          <cell r="F147" t="str">
            <v>Tecnologo</v>
          </cell>
        </row>
        <row r="148">
          <cell r="D148" t="str">
            <v>Livorno</v>
          </cell>
          <cell r="F148" t="str">
            <v>Tecnologo</v>
          </cell>
        </row>
        <row r="149">
          <cell r="D149" t="str">
            <v>Livorno</v>
          </cell>
          <cell r="F149" t="str">
            <v>CTER con Incarico di Responsabilita'</v>
          </cell>
        </row>
        <row r="150">
          <cell r="D150" t="str">
            <v>Livorno</v>
          </cell>
          <cell r="F150" t="str">
            <v>CTER</v>
          </cell>
        </row>
        <row r="151">
          <cell r="D151" t="str">
            <v>Livorno</v>
          </cell>
          <cell r="F151" t="str">
            <v>CTER</v>
          </cell>
        </row>
        <row r="152">
          <cell r="D152" t="str">
            <v>Livorno</v>
          </cell>
          <cell r="F152" t="str">
            <v>Operatore Tecnico</v>
          </cell>
        </row>
        <row r="153">
          <cell r="D153" t="str">
            <v>Livorno</v>
          </cell>
          <cell r="F153" t="str">
            <v>Collaboratore Di Amministrazione</v>
          </cell>
        </row>
        <row r="154">
          <cell r="D154" t="str">
            <v>Livorno</v>
          </cell>
          <cell r="F154" t="str">
            <v>Collaboratore Di Amministrazione</v>
          </cell>
        </row>
        <row r="155">
          <cell r="D155" t="str">
            <v>Livorno</v>
          </cell>
          <cell r="F155" t="str">
            <v>Collaboratore Di Amministrazione</v>
          </cell>
        </row>
        <row r="156">
          <cell r="D156" t="str">
            <v>Lucca</v>
          </cell>
          <cell r="F156" t="str">
            <v>Direttore UOT</v>
          </cell>
          <cell r="K156" t="str">
            <v>X</v>
          </cell>
          <cell r="P156" t="str">
            <v>SOLLEVAMENTO: ON 100</v>
          </cell>
        </row>
        <row r="157">
          <cell r="D157" t="str">
            <v>Lucca</v>
          </cell>
          <cell r="F157" t="str">
            <v>Tecnologo</v>
          </cell>
          <cell r="J157" t="str">
            <v>X</v>
          </cell>
          <cell r="L157" t="str">
            <v>X</v>
          </cell>
          <cell r="P157" t="str">
            <v>PRESSIONE: TPED e Apparecchi a pressione
Competenza su Seveso</v>
          </cell>
        </row>
        <row r="158">
          <cell r="D158" t="str">
            <v>Lucca</v>
          </cell>
          <cell r="F158" t="str">
            <v>Ricercatore</v>
          </cell>
          <cell r="J158" t="str">
            <v>X</v>
          </cell>
          <cell r="L158" t="str">
            <v>X</v>
          </cell>
          <cell r="P158" t="str">
            <v>Competenza su Seveso</v>
          </cell>
        </row>
        <row r="159">
          <cell r="D159" t="str">
            <v>Lucca</v>
          </cell>
          <cell r="F159" t="str">
            <v>CTER</v>
          </cell>
          <cell r="J159" t="str">
            <v>X</v>
          </cell>
          <cell r="K159" t="str">
            <v>X</v>
          </cell>
          <cell r="M159" t="str">
            <v>X</v>
          </cell>
          <cell r="P159" t="str">
            <v>PRESSIONE: TPED_ valvole e bombole</v>
          </cell>
        </row>
        <row r="160">
          <cell r="D160" t="str">
            <v>Lucca</v>
          </cell>
          <cell r="F160" t="str">
            <v>CTER</v>
          </cell>
          <cell r="J160" t="str">
            <v>X</v>
          </cell>
          <cell r="K160" t="str">
            <v>X</v>
          </cell>
          <cell r="M160" t="str">
            <v>X</v>
          </cell>
          <cell r="P160" t="str">
            <v>PRESSIONE: TPED_ valvole e bombole</v>
          </cell>
        </row>
        <row r="161">
          <cell r="D161" t="str">
            <v>Lucca</v>
          </cell>
          <cell r="F161" t="str">
            <v>CTER</v>
          </cell>
          <cell r="J161" t="str">
            <v>X</v>
          </cell>
          <cell r="L161" t="str">
            <v>X</v>
          </cell>
          <cell r="P161" t="str">
            <v>PRESSIONE: Apparecchi a pressione_ valvole e bombole
Competenza su Seveso</v>
          </cell>
        </row>
        <row r="162">
          <cell r="D162" t="str">
            <v>Lucca</v>
          </cell>
          <cell r="F162" t="str">
            <v>Collaboratore Di Amministrazione</v>
          </cell>
        </row>
        <row r="163">
          <cell r="D163" t="str">
            <v>Lucca</v>
          </cell>
          <cell r="F163" t="str">
            <v>Collaboratore Di Amministrazione</v>
          </cell>
        </row>
        <row r="164">
          <cell r="D164" t="str">
            <v>Messina</v>
          </cell>
          <cell r="F164" t="str">
            <v>Direttore UOT</v>
          </cell>
        </row>
        <row r="165">
          <cell r="D165" t="str">
            <v>Messina</v>
          </cell>
          <cell r="F165" t="str">
            <v>Tecnologo</v>
          </cell>
        </row>
        <row r="166">
          <cell r="D166" t="str">
            <v>Messina</v>
          </cell>
          <cell r="F166" t="str">
            <v>Tecnologo</v>
          </cell>
        </row>
        <row r="167">
          <cell r="D167" t="str">
            <v>Messina</v>
          </cell>
          <cell r="F167" t="str">
            <v>Tecnologo</v>
          </cell>
        </row>
        <row r="168">
          <cell r="D168" t="str">
            <v>Messina</v>
          </cell>
          <cell r="F168" t="str">
            <v>CTER con Incarico di Responsabilita'</v>
          </cell>
        </row>
        <row r="169">
          <cell r="D169" t="str">
            <v>Messina</v>
          </cell>
          <cell r="F169" t="str">
            <v>CTER</v>
          </cell>
        </row>
        <row r="170">
          <cell r="D170" t="str">
            <v>Messina</v>
          </cell>
          <cell r="F170" t="str">
            <v>CTER</v>
          </cell>
        </row>
        <row r="171">
          <cell r="D171" t="str">
            <v>Messina</v>
          </cell>
          <cell r="F171" t="str">
            <v>CTER</v>
          </cell>
        </row>
        <row r="172">
          <cell r="D172" t="str">
            <v>Messina</v>
          </cell>
          <cell r="F172" t="str">
            <v>CTER</v>
          </cell>
        </row>
        <row r="173">
          <cell r="D173" t="str">
            <v>Messina</v>
          </cell>
          <cell r="F173" t="str">
            <v>CTER</v>
          </cell>
        </row>
        <row r="174">
          <cell r="D174" t="str">
            <v>Messina</v>
          </cell>
          <cell r="F174" t="str">
            <v>Collaboratore Di Amministrazione</v>
          </cell>
        </row>
        <row r="175">
          <cell r="D175" t="str">
            <v>Messina</v>
          </cell>
          <cell r="F175" t="str">
            <v>Collaboratore Di Amministrazione</v>
          </cell>
        </row>
        <row r="176">
          <cell r="D176" t="str">
            <v>Messina</v>
          </cell>
          <cell r="F176" t="str">
            <v>Collaboratore Di Amministrazione</v>
          </cell>
        </row>
        <row r="177">
          <cell r="D177" t="str">
            <v>Messina</v>
          </cell>
          <cell r="F177" t="str">
            <v>Collaboratore Di Amministrazione</v>
          </cell>
        </row>
        <row r="178">
          <cell r="D178" t="str">
            <v>Milano</v>
          </cell>
          <cell r="F178" t="str">
            <v>Direttore UOT</v>
          </cell>
          <cell r="J178" t="str">
            <v>X</v>
          </cell>
          <cell r="K178" t="str">
            <v>X</v>
          </cell>
          <cell r="L178" t="str">
            <v>X</v>
          </cell>
        </row>
        <row r="179">
          <cell r="D179" t="str">
            <v>Milano</v>
          </cell>
          <cell r="F179" t="str">
            <v>Tecnologo</v>
          </cell>
          <cell r="J179" t="str">
            <v>X</v>
          </cell>
          <cell r="K179" t="str">
            <v>X</v>
          </cell>
          <cell r="L179" t="str">
            <v>X</v>
          </cell>
          <cell r="P179" t="str">
            <v>certificazione ON</v>
          </cell>
        </row>
        <row r="180">
          <cell r="D180" t="str">
            <v>Milano</v>
          </cell>
          <cell r="F180" t="str">
            <v>Tecnologo</v>
          </cell>
          <cell r="J180" t="str">
            <v>X</v>
          </cell>
          <cell r="K180" t="str">
            <v>X</v>
          </cell>
          <cell r="L180" t="str">
            <v>X</v>
          </cell>
          <cell r="M180" t="str">
            <v>X</v>
          </cell>
          <cell r="P180" t="str">
            <v>certificazione ON</v>
          </cell>
        </row>
        <row r="181">
          <cell r="D181" t="str">
            <v>Milano</v>
          </cell>
          <cell r="F181" t="str">
            <v>Tecnologo</v>
          </cell>
          <cell r="J181" t="str">
            <v>X</v>
          </cell>
          <cell r="K181" t="str">
            <v>X</v>
          </cell>
          <cell r="L181" t="str">
            <v>X</v>
          </cell>
        </row>
        <row r="182">
          <cell r="D182" t="str">
            <v>Milano</v>
          </cell>
          <cell r="F182" t="str">
            <v>CTER con Incarico di Responsabilita'</v>
          </cell>
          <cell r="J182" t="str">
            <v>X</v>
          </cell>
          <cell r="K182" t="str">
            <v>X</v>
          </cell>
          <cell r="L182" t="str">
            <v>X</v>
          </cell>
          <cell r="M182" t="str">
            <v>X</v>
          </cell>
          <cell r="P182" t="str">
            <v>certificazione ON</v>
          </cell>
        </row>
        <row r="183">
          <cell r="D183" t="str">
            <v>Milano</v>
          </cell>
          <cell r="F183" t="str">
            <v>CTER</v>
          </cell>
          <cell r="J183" t="str">
            <v>X</v>
          </cell>
          <cell r="L183" t="str">
            <v>X</v>
          </cell>
        </row>
        <row r="184">
          <cell r="D184" t="str">
            <v>Milano</v>
          </cell>
          <cell r="F184" t="str">
            <v>CTER</v>
          </cell>
          <cell r="J184" t="str">
            <v>X</v>
          </cell>
          <cell r="L184" t="str">
            <v>X</v>
          </cell>
          <cell r="M184" t="str">
            <v>X</v>
          </cell>
        </row>
        <row r="185">
          <cell r="D185" t="str">
            <v>Milano</v>
          </cell>
          <cell r="F185" t="str">
            <v>Collaboratore Di Amministrazione</v>
          </cell>
        </row>
        <row r="186">
          <cell r="D186" t="str">
            <v>Milano</v>
          </cell>
          <cell r="F186" t="str">
            <v>Collaboratore Di Amministrazione</v>
          </cell>
        </row>
        <row r="187">
          <cell r="D187" t="str">
            <v>Milano</v>
          </cell>
          <cell r="F187" t="str">
            <v>Collaboratore Di Amministrazione</v>
          </cell>
        </row>
        <row r="188">
          <cell r="D188" t="str">
            <v>Milano</v>
          </cell>
          <cell r="F188" t="str">
            <v>Collaboratore Di Amministrazione</v>
          </cell>
        </row>
        <row r="189">
          <cell r="D189" t="str">
            <v>Napoli</v>
          </cell>
          <cell r="F189" t="str">
            <v>Direttore UOT</v>
          </cell>
        </row>
        <row r="190">
          <cell r="D190" t="str">
            <v>Napoli</v>
          </cell>
          <cell r="F190" t="str">
            <v>Tecnologo</v>
          </cell>
        </row>
        <row r="191">
          <cell r="D191" t="str">
            <v>Napoli</v>
          </cell>
          <cell r="F191" t="str">
            <v>Tecnologo</v>
          </cell>
        </row>
        <row r="192">
          <cell r="D192" t="str">
            <v>Napoli</v>
          </cell>
          <cell r="F192" t="str">
            <v>Tecnologo</v>
          </cell>
        </row>
        <row r="193">
          <cell r="D193" t="str">
            <v>Napoli</v>
          </cell>
          <cell r="F193" t="str">
            <v>Tecnologo</v>
          </cell>
        </row>
        <row r="194">
          <cell r="D194" t="str">
            <v>Napoli</v>
          </cell>
          <cell r="F194" t="str">
            <v>Tecnologo</v>
          </cell>
        </row>
        <row r="195">
          <cell r="D195" t="str">
            <v>Napoli</v>
          </cell>
          <cell r="F195" t="str">
            <v>Tecnologo</v>
          </cell>
        </row>
        <row r="196">
          <cell r="D196" t="str">
            <v>Napoli</v>
          </cell>
          <cell r="F196" t="str">
            <v>Ricercatore</v>
          </cell>
        </row>
        <row r="197">
          <cell r="D197" t="str">
            <v>Napoli</v>
          </cell>
          <cell r="F197" t="str">
            <v>Ricercatore</v>
          </cell>
        </row>
        <row r="198">
          <cell r="D198" t="str">
            <v>Napoli</v>
          </cell>
          <cell r="F198" t="str">
            <v>Ricercatore</v>
          </cell>
        </row>
        <row r="199">
          <cell r="D199" t="str">
            <v>Napoli</v>
          </cell>
          <cell r="F199" t="str">
            <v>Ricercatore</v>
          </cell>
        </row>
        <row r="200">
          <cell r="D200" t="str">
            <v>Napoli</v>
          </cell>
          <cell r="F200" t="str">
            <v>CTER con Incarico di Responsabilita'</v>
          </cell>
        </row>
        <row r="201">
          <cell r="D201" t="str">
            <v>Napoli</v>
          </cell>
          <cell r="F201" t="str">
            <v>CTER</v>
          </cell>
        </row>
        <row r="202">
          <cell r="D202" t="str">
            <v>Napoli</v>
          </cell>
          <cell r="F202" t="str">
            <v>CTER</v>
          </cell>
        </row>
        <row r="203">
          <cell r="D203" t="str">
            <v>Napoli</v>
          </cell>
          <cell r="F203" t="str">
            <v>CTER</v>
          </cell>
        </row>
        <row r="204">
          <cell r="D204" t="str">
            <v>Napoli</v>
          </cell>
          <cell r="F204" t="str">
            <v>CTER</v>
          </cell>
        </row>
        <row r="205">
          <cell r="D205" t="str">
            <v>Napoli</v>
          </cell>
          <cell r="F205" t="str">
            <v>CTER</v>
          </cell>
        </row>
        <row r="206">
          <cell r="D206" t="str">
            <v>Napoli</v>
          </cell>
          <cell r="F206" t="str">
            <v>Operatore Tecnico</v>
          </cell>
        </row>
        <row r="207">
          <cell r="D207" t="str">
            <v>Napoli</v>
          </cell>
          <cell r="F207" t="str">
            <v>Operatore Tecnico</v>
          </cell>
        </row>
        <row r="208">
          <cell r="D208" t="str">
            <v>Napoli</v>
          </cell>
          <cell r="F208" t="str">
            <v>Operatore Tecnico</v>
          </cell>
        </row>
        <row r="209">
          <cell r="D209" t="str">
            <v>Napoli</v>
          </cell>
          <cell r="F209" t="str">
            <v>Collaboratore Di Amministrazione</v>
          </cell>
        </row>
        <row r="210">
          <cell r="D210" t="str">
            <v>Napoli</v>
          </cell>
          <cell r="F210" t="str">
            <v>Collaboratore Di Amministrazione</v>
          </cell>
        </row>
        <row r="211">
          <cell r="D211" t="str">
            <v>Napoli</v>
          </cell>
          <cell r="F211" t="str">
            <v>Collaboratore Di Amministrazione</v>
          </cell>
        </row>
        <row r="212">
          <cell r="D212" t="str">
            <v>Napoli</v>
          </cell>
          <cell r="F212" t="str">
            <v>Collaboratore Di Amministrazione</v>
          </cell>
        </row>
        <row r="213">
          <cell r="D213" t="str">
            <v>Napoli</v>
          </cell>
          <cell r="F213" t="str">
            <v>Collaboratore Di Amministrazione</v>
          </cell>
        </row>
        <row r="214">
          <cell r="D214" t="str">
            <v>Napoli</v>
          </cell>
          <cell r="F214" t="str">
            <v>Collaboratore Di Amministrazione</v>
          </cell>
        </row>
        <row r="215">
          <cell r="D215" t="str">
            <v>Napoli</v>
          </cell>
          <cell r="F215" t="str">
            <v>Collaboratore Di Amministrazione</v>
          </cell>
        </row>
        <row r="216">
          <cell r="D216" t="str">
            <v>Napoli</v>
          </cell>
          <cell r="F216" t="str">
            <v>Operatore Di Amministrazione</v>
          </cell>
        </row>
        <row r="217">
          <cell r="D217" t="str">
            <v>Napoli</v>
          </cell>
          <cell r="F217" t="str">
            <v>Operatore Di Amministrazione</v>
          </cell>
        </row>
        <row r="218">
          <cell r="D218" t="str">
            <v>Napoli</v>
          </cell>
          <cell r="F218" t="str">
            <v>Funzionario Amministrativo</v>
          </cell>
        </row>
        <row r="219">
          <cell r="D219" t="str">
            <v>Napoli</v>
          </cell>
          <cell r="F219" t="str">
            <v>Funzionario Amministrativo</v>
          </cell>
        </row>
        <row r="220">
          <cell r="D220" t="str">
            <v>Napoli</v>
          </cell>
          <cell r="F220" t="str">
            <v>Funzionario Amministrativo</v>
          </cell>
        </row>
        <row r="221">
          <cell r="D221" t="str">
            <v>Napoli</v>
          </cell>
          <cell r="F221" t="str">
            <v>Funzionario Amministrativo</v>
          </cell>
        </row>
        <row r="222">
          <cell r="D222" t="str">
            <v>Padova</v>
          </cell>
          <cell r="F222" t="str">
            <v>Direttore UOT</v>
          </cell>
          <cell r="J222" t="str">
            <v>X</v>
          </cell>
          <cell r="K222" t="str">
            <v>X</v>
          </cell>
        </row>
        <row r="223">
          <cell r="D223" t="str">
            <v>Padova</v>
          </cell>
          <cell r="F223" t="str">
            <v>CTER con Incarico di Responsabilita'</v>
          </cell>
          <cell r="K223" t="str">
            <v>X</v>
          </cell>
          <cell r="M223" t="str">
            <v>X</v>
          </cell>
        </row>
        <row r="224">
          <cell r="D224" t="str">
            <v>Padova</v>
          </cell>
          <cell r="F224" t="str">
            <v>CTER</v>
          </cell>
          <cell r="J224" t="str">
            <v>X</v>
          </cell>
          <cell r="L224" t="str">
            <v>X</v>
          </cell>
        </row>
        <row r="225">
          <cell r="D225" t="str">
            <v>Padova</v>
          </cell>
          <cell r="F225" t="str">
            <v>Collaboratore Di Amministrazione</v>
          </cell>
        </row>
        <row r="226">
          <cell r="D226" t="str">
            <v>Padova</v>
          </cell>
          <cell r="F226" t="str">
            <v>Operatore Di Amministrazione</v>
          </cell>
        </row>
        <row r="227">
          <cell r="D227" t="str">
            <v>Padova</v>
          </cell>
          <cell r="F227" t="str">
            <v>Funzionario Amministrativo</v>
          </cell>
        </row>
        <row r="228">
          <cell r="D228" t="str">
            <v>Palermo</v>
          </cell>
          <cell r="F228" t="str">
            <v>Tecnologo</v>
          </cell>
        </row>
        <row r="229">
          <cell r="D229" t="str">
            <v>Palermo</v>
          </cell>
          <cell r="F229" t="str">
            <v>Tecnologo</v>
          </cell>
        </row>
        <row r="230">
          <cell r="D230" t="str">
            <v>Palermo</v>
          </cell>
          <cell r="F230" t="str">
            <v>Tecnologo</v>
          </cell>
        </row>
        <row r="231">
          <cell r="D231" t="str">
            <v>Palermo</v>
          </cell>
          <cell r="F231" t="str">
            <v>Tecnologo</v>
          </cell>
        </row>
        <row r="232">
          <cell r="D232" t="str">
            <v>Palermo</v>
          </cell>
          <cell r="F232" t="str">
            <v>Tecnologo</v>
          </cell>
        </row>
        <row r="233">
          <cell r="D233" t="str">
            <v>Palermo</v>
          </cell>
          <cell r="F233" t="str">
            <v>Tecnologo</v>
          </cell>
        </row>
        <row r="234">
          <cell r="D234" t="str">
            <v>Palermo</v>
          </cell>
          <cell r="F234" t="str">
            <v>Tecnologo</v>
          </cell>
        </row>
        <row r="235">
          <cell r="D235" t="str">
            <v>Palermo</v>
          </cell>
          <cell r="F235" t="str">
            <v>Tecnologo</v>
          </cell>
        </row>
        <row r="236">
          <cell r="D236" t="str">
            <v>Palermo</v>
          </cell>
          <cell r="F236" t="str">
            <v>Tecnologo</v>
          </cell>
        </row>
        <row r="237">
          <cell r="D237" t="str">
            <v>Palermo</v>
          </cell>
          <cell r="F237" t="str">
            <v>CTER</v>
          </cell>
        </row>
        <row r="238">
          <cell r="D238" t="str">
            <v>Palermo</v>
          </cell>
          <cell r="F238" t="str">
            <v>CTER</v>
          </cell>
        </row>
        <row r="239">
          <cell r="D239" t="str">
            <v>Palermo</v>
          </cell>
          <cell r="F239" t="str">
            <v>CTER</v>
          </cell>
        </row>
        <row r="240">
          <cell r="D240" t="str">
            <v>Palermo</v>
          </cell>
          <cell r="F240" t="str">
            <v>Collaboratore Di Amministrazione</v>
          </cell>
        </row>
        <row r="241">
          <cell r="D241" t="str">
            <v>Palermo</v>
          </cell>
          <cell r="F241" t="str">
            <v>Collaboratore Di Amministrazione</v>
          </cell>
        </row>
        <row r="242">
          <cell r="D242" t="str">
            <v>Palermo</v>
          </cell>
          <cell r="F242" t="str">
            <v>Collaboratore Di Amministrazione</v>
          </cell>
        </row>
        <row r="243">
          <cell r="D243" t="str">
            <v>Palermo</v>
          </cell>
          <cell r="F243" t="str">
            <v>Collaboratore Di Amministrazione</v>
          </cell>
        </row>
        <row r="244">
          <cell r="D244" t="str">
            <v>Palermo</v>
          </cell>
          <cell r="F244" t="str">
            <v>Operatore Di Amministrazione</v>
          </cell>
        </row>
        <row r="245">
          <cell r="D245" t="str">
            <v>Palermo</v>
          </cell>
          <cell r="F245" t="str">
            <v>Operatore Di Amministrazione</v>
          </cell>
        </row>
        <row r="246">
          <cell r="D246" t="str">
            <v>Palermo</v>
          </cell>
          <cell r="F246" t="str">
            <v>Operatore Di Amministrazione</v>
          </cell>
        </row>
        <row r="247">
          <cell r="D247" t="str">
            <v>Palermo</v>
          </cell>
          <cell r="F247" t="str">
            <v>Dipendente</v>
          </cell>
        </row>
        <row r="248">
          <cell r="D248" t="str">
            <v>Pescara</v>
          </cell>
          <cell r="F248" t="str">
            <v>Direttore UOT</v>
          </cell>
          <cell r="J248" t="str">
            <v>X</v>
          </cell>
          <cell r="K248" t="str">
            <v>X</v>
          </cell>
          <cell r="L248" t="str">
            <v>X</v>
          </cell>
        </row>
        <row r="249">
          <cell r="D249" t="str">
            <v>Pescara</v>
          </cell>
          <cell r="F249" t="str">
            <v>Tecnologo</v>
          </cell>
          <cell r="J249" t="str">
            <v>X</v>
          </cell>
          <cell r="K249" t="str">
            <v>X</v>
          </cell>
          <cell r="M249" t="str">
            <v>X</v>
          </cell>
          <cell r="P249" t="str">
            <v>Segnalato dal Direttore della UOT Di Campobasso_altra UOT_il 17/05/2024_ su richiesta di Tonti ed email arrivata in Cc anche a La Gioia_ come esperto disponibile alla collaborazione… si presume in presenza… 
Il Direttore della UOT di Pescara_ sul reply al</v>
          </cell>
        </row>
        <row r="250">
          <cell r="D250" t="str">
            <v>Pescara</v>
          </cell>
          <cell r="F250" t="str">
            <v>Tecnologo</v>
          </cell>
          <cell r="J250" t="str">
            <v>X</v>
          </cell>
          <cell r="K250" t="str">
            <v>X</v>
          </cell>
          <cell r="L250" t="str">
            <v>X</v>
          </cell>
        </row>
        <row r="251">
          <cell r="D251" t="str">
            <v>Pescara</v>
          </cell>
          <cell r="F251" t="str">
            <v>CTER</v>
          </cell>
          <cell r="J251" t="str">
            <v>X</v>
          </cell>
          <cell r="K251" t="str">
            <v>X</v>
          </cell>
          <cell r="P251" t="str">
            <v>PRESSIONE: solo attrezzature trasportabili. 
Ha conoscenze in materia di terre e protezione dalle scariche atmosferiche</v>
          </cell>
        </row>
        <row r="252">
          <cell r="D252" t="str">
            <v>Pescara</v>
          </cell>
          <cell r="F252" t="str">
            <v>Operatore Tecnico</v>
          </cell>
        </row>
        <row r="253">
          <cell r="D253" t="str">
            <v>Pescara</v>
          </cell>
          <cell r="F253" t="str">
            <v>Operatore Tecnico</v>
          </cell>
        </row>
        <row r="254">
          <cell r="D254" t="str">
            <v>Pescara</v>
          </cell>
          <cell r="F254" t="str">
            <v>Operatore Tecnico</v>
          </cell>
        </row>
        <row r="255">
          <cell r="D255" t="str">
            <v>Pescara</v>
          </cell>
          <cell r="F255" t="str">
            <v>Collaboratore Di Amministrazione</v>
          </cell>
        </row>
        <row r="256">
          <cell r="D256" t="str">
            <v>Pescara</v>
          </cell>
          <cell r="F256" t="str">
            <v>Collaboratore Di Amministrazione</v>
          </cell>
        </row>
        <row r="257">
          <cell r="D257" t="str">
            <v>Pescara</v>
          </cell>
          <cell r="F257" t="str">
            <v>Collaboratore Di Amministrazione</v>
          </cell>
        </row>
        <row r="258">
          <cell r="D258" t="str">
            <v>Pescara</v>
          </cell>
          <cell r="F258" t="str">
            <v>Collaboratore Di Amministrazione</v>
          </cell>
        </row>
        <row r="259">
          <cell r="D259" t="str">
            <v>Pescara</v>
          </cell>
          <cell r="F259" t="str">
            <v>Collaboratore Di Amministrazione</v>
          </cell>
        </row>
        <row r="260">
          <cell r="D260" t="str">
            <v>Pescara</v>
          </cell>
          <cell r="F260" t="str">
            <v>Collaboratore Di Amministrazione</v>
          </cell>
        </row>
        <row r="261">
          <cell r="D261" t="str">
            <v>Piacenza</v>
          </cell>
          <cell r="F261" t="str">
            <v>Direttore UOT</v>
          </cell>
          <cell r="J261" t="str">
            <v>X</v>
          </cell>
          <cell r="K261" t="str">
            <v>X</v>
          </cell>
        </row>
        <row r="262">
          <cell r="D262" t="str">
            <v>Piacenza</v>
          </cell>
          <cell r="F262" t="str">
            <v>Tecnologo</v>
          </cell>
          <cell r="J262" t="str">
            <v>X</v>
          </cell>
          <cell r="L262" t="str">
            <v>X</v>
          </cell>
          <cell r="P262" t="str">
            <v>E' AUTORIZZATO AL PART-TIME AL 50% (PRESTA 3 GIORNI LAVORATIVI/SETTIMANA) E NON SVOLGE SERVIZIO ESTERNO DI VERIFICA E CERTIFICAZIONE</v>
          </cell>
        </row>
        <row r="263">
          <cell r="D263" t="str">
            <v>Piacenza</v>
          </cell>
          <cell r="F263" t="str">
            <v>Tecnologo</v>
          </cell>
          <cell r="J263" t="str">
            <v>X</v>
          </cell>
          <cell r="K263" t="str">
            <v>X</v>
          </cell>
          <cell r="P263" t="str">
            <v>VERRA' COLLOCATO A RIPOSO PER RAGGIUNTI LIMITI D'ETA A PARTIRE DAL 31 DICEMBRE 2025</v>
          </cell>
        </row>
        <row r="264">
          <cell r="D264" t="str">
            <v>Piacenza</v>
          </cell>
          <cell r="F264" t="str">
            <v>CTER</v>
          </cell>
          <cell r="J264" t="str">
            <v>X</v>
          </cell>
          <cell r="K264" t="str">
            <v>X</v>
          </cell>
          <cell r="L264" t="str">
            <v>X</v>
          </cell>
        </row>
        <row r="265">
          <cell r="D265" t="str">
            <v>Piacenza</v>
          </cell>
          <cell r="F265" t="str">
            <v>Operatore Tecnico</v>
          </cell>
        </row>
        <row r="266">
          <cell r="D266" t="str">
            <v>Piacenza</v>
          </cell>
          <cell r="F266" t="str">
            <v>Collaboratore Di Amministrazione</v>
          </cell>
        </row>
        <row r="267">
          <cell r="D267" t="str">
            <v>Piacenza</v>
          </cell>
          <cell r="F267" t="str">
            <v>Collaboratore Di Amministrazione</v>
          </cell>
        </row>
        <row r="268">
          <cell r="D268" t="str">
            <v>Potenza</v>
          </cell>
          <cell r="F268" t="str">
            <v>Direttore UOT</v>
          </cell>
          <cell r="J268" t="str">
            <v>X</v>
          </cell>
          <cell r="K268" t="str">
            <v>X</v>
          </cell>
          <cell r="L268" t="str">
            <v>X</v>
          </cell>
        </row>
        <row r="269">
          <cell r="D269" t="str">
            <v>Potenza</v>
          </cell>
          <cell r="F269" t="str">
            <v>CTER</v>
          </cell>
          <cell r="M269" t="str">
            <v>X</v>
          </cell>
        </row>
        <row r="270">
          <cell r="D270" t="str">
            <v>Potenza</v>
          </cell>
          <cell r="F270" t="str">
            <v>Collaboratore Di Amministrazione</v>
          </cell>
        </row>
        <row r="271">
          <cell r="D271" t="str">
            <v>Potenza</v>
          </cell>
          <cell r="F271" t="str">
            <v>Collaboratore Di Amministrazione</v>
          </cell>
        </row>
        <row r="272">
          <cell r="D272" t="str">
            <v>Potenza</v>
          </cell>
          <cell r="F272" t="str">
            <v>Collaboratore Di Amministrazione</v>
          </cell>
        </row>
        <row r="273">
          <cell r="D273" t="str">
            <v>Potenza</v>
          </cell>
          <cell r="F273" t="str">
            <v>Operatore Di Amministrazione</v>
          </cell>
        </row>
        <row r="274">
          <cell r="D274" t="str">
            <v>Potenza</v>
          </cell>
          <cell r="F274" t="str">
            <v>Operatore Di Amministrazione</v>
          </cell>
        </row>
        <row r="275">
          <cell r="D275" t="str">
            <v>Potenza</v>
          </cell>
          <cell r="F275" t="str">
            <v>Operatore Di Amministrazione</v>
          </cell>
        </row>
        <row r="276">
          <cell r="D276" t="str">
            <v>Roma</v>
          </cell>
          <cell r="F276" t="str">
            <v>Direttore UOT</v>
          </cell>
        </row>
        <row r="277">
          <cell r="D277" t="str">
            <v>Roma</v>
          </cell>
          <cell r="F277" t="str">
            <v>Tecnologo</v>
          </cell>
          <cell r="K277" t="str">
            <v>X</v>
          </cell>
          <cell r="L277" t="str">
            <v>X</v>
          </cell>
          <cell r="P277" t="str">
            <v>SOLLEVAMENTO: ascensori</v>
          </cell>
        </row>
        <row r="278">
          <cell r="D278" t="str">
            <v>Roma</v>
          </cell>
          <cell r="F278" t="str">
            <v>Tecnologo</v>
          </cell>
          <cell r="J278" t="str">
            <v>X</v>
          </cell>
          <cell r="L278" t="str">
            <v>X</v>
          </cell>
        </row>
        <row r="279">
          <cell r="D279" t="str">
            <v>Roma</v>
          </cell>
          <cell r="F279" t="str">
            <v>CTER con Incarico di Responsabilita'</v>
          </cell>
          <cell r="J279" t="str">
            <v>X</v>
          </cell>
          <cell r="L279" t="str">
            <v>X</v>
          </cell>
          <cell r="P279" t="str">
            <v>PRESSIONE: tarataura valvole-esoneri GPL</v>
          </cell>
        </row>
        <row r="280">
          <cell r="D280" t="str">
            <v>Roma</v>
          </cell>
          <cell r="F280" t="str">
            <v>CTER</v>
          </cell>
          <cell r="K280" t="str">
            <v>X</v>
          </cell>
          <cell r="L280" t="str">
            <v>X</v>
          </cell>
        </row>
        <row r="281">
          <cell r="D281" t="str">
            <v>Roma</v>
          </cell>
          <cell r="F281" t="str">
            <v>CTER</v>
          </cell>
        </row>
        <row r="282">
          <cell r="D282" t="str">
            <v>Roma</v>
          </cell>
          <cell r="F282" t="str">
            <v>CTER</v>
          </cell>
          <cell r="J282" t="str">
            <v>X</v>
          </cell>
          <cell r="L282" t="str">
            <v>X</v>
          </cell>
        </row>
        <row r="283">
          <cell r="D283" t="str">
            <v>Roma</v>
          </cell>
          <cell r="F283" t="str">
            <v>CTER</v>
          </cell>
        </row>
        <row r="284">
          <cell r="D284" t="str">
            <v>Roma</v>
          </cell>
          <cell r="F284" t="str">
            <v>CTER</v>
          </cell>
        </row>
        <row r="285">
          <cell r="D285" t="str">
            <v>Roma</v>
          </cell>
          <cell r="F285" t="str">
            <v>CTER</v>
          </cell>
          <cell r="J285" t="str">
            <v>X</v>
          </cell>
          <cell r="K285" t="str">
            <v>X</v>
          </cell>
          <cell r="L285" t="str">
            <v>X</v>
          </cell>
          <cell r="M285" t="str">
            <v>X</v>
          </cell>
          <cell r="P285" t="str">
            <v>PRESSIONE: taratura valvole-bombole-Esoneri GPL</v>
          </cell>
        </row>
        <row r="286">
          <cell r="D286" t="str">
            <v>Roma</v>
          </cell>
          <cell r="F286" t="str">
            <v>CTER</v>
          </cell>
          <cell r="J286" t="str">
            <v>X</v>
          </cell>
          <cell r="L286" t="str">
            <v>X</v>
          </cell>
          <cell r="P286" t="str">
            <v>PRESSIONE: bombole-tarataura valvole-esoneri GPL</v>
          </cell>
        </row>
        <row r="287">
          <cell r="D287" t="str">
            <v>Roma</v>
          </cell>
          <cell r="F287" t="str">
            <v>CTER</v>
          </cell>
        </row>
        <row r="288">
          <cell r="D288" t="str">
            <v>Roma</v>
          </cell>
          <cell r="F288" t="str">
            <v>Operatore Tecnico</v>
          </cell>
        </row>
        <row r="289">
          <cell r="D289" t="str">
            <v>Roma</v>
          </cell>
          <cell r="F289" t="str">
            <v>Operatore Tecnico</v>
          </cell>
        </row>
        <row r="290">
          <cell r="D290" t="str">
            <v>Roma</v>
          </cell>
          <cell r="F290" t="str">
            <v>Collaboratore Di Amministrazione</v>
          </cell>
        </row>
        <row r="291">
          <cell r="D291" t="str">
            <v>Roma</v>
          </cell>
          <cell r="F291" t="str">
            <v>Collaboratore Di Amministrazione</v>
          </cell>
        </row>
        <row r="292">
          <cell r="D292" t="str">
            <v>Roma</v>
          </cell>
          <cell r="F292" t="str">
            <v>Collaboratore Di Amministrazione</v>
          </cell>
        </row>
        <row r="293">
          <cell r="D293" t="str">
            <v>Roma</v>
          </cell>
          <cell r="F293" t="str">
            <v>Collaboratore Di Amministrazione</v>
          </cell>
        </row>
        <row r="294">
          <cell r="D294" t="str">
            <v>Roma</v>
          </cell>
          <cell r="F294" t="str">
            <v>Collaboratore Di Amministrazione</v>
          </cell>
        </row>
        <row r="295">
          <cell r="D295" t="str">
            <v>Roma</v>
          </cell>
          <cell r="F295" t="str">
            <v>Collaboratore Di Amministrazione</v>
          </cell>
        </row>
        <row r="296">
          <cell r="D296" t="str">
            <v>Roma</v>
          </cell>
          <cell r="F296" t="str">
            <v>Collaboratore Di Amministrazione</v>
          </cell>
        </row>
        <row r="297">
          <cell r="D297" t="str">
            <v>Roma</v>
          </cell>
          <cell r="F297" t="str">
            <v>Collaboratore Di Amministrazione</v>
          </cell>
        </row>
        <row r="298">
          <cell r="D298" t="str">
            <v>Roma</v>
          </cell>
          <cell r="F298" t="str">
            <v>Collaboratore Di Amministrazione</v>
          </cell>
        </row>
        <row r="299">
          <cell r="D299" t="str">
            <v>Roma</v>
          </cell>
          <cell r="F299" t="str">
            <v>Collaboratore Di Amministrazione</v>
          </cell>
        </row>
        <row r="300">
          <cell r="D300" t="str">
            <v>Roma</v>
          </cell>
          <cell r="F300" t="str">
            <v>Collaboratore Di Amministrazione</v>
          </cell>
        </row>
        <row r="301">
          <cell r="D301" t="str">
            <v>Roma</v>
          </cell>
          <cell r="F301" t="str">
            <v>Collaboratore Di Amministrazione</v>
          </cell>
        </row>
        <row r="302">
          <cell r="D302" t="str">
            <v>Roma</v>
          </cell>
          <cell r="F302" t="str">
            <v>Collaboratore Di Amministrazione</v>
          </cell>
        </row>
        <row r="303">
          <cell r="D303" t="str">
            <v>Roma</v>
          </cell>
          <cell r="F303" t="str">
            <v>Collaboratore Di Amministrazione</v>
          </cell>
        </row>
        <row r="304">
          <cell r="D304" t="str">
            <v>Roma</v>
          </cell>
          <cell r="F304" t="str">
            <v>Operatore Di Amministrazione</v>
          </cell>
        </row>
        <row r="305">
          <cell r="D305" t="str">
            <v>Roma</v>
          </cell>
          <cell r="F305" t="str">
            <v>Operatore Di Amministrazione</v>
          </cell>
        </row>
        <row r="306">
          <cell r="D306" t="str">
            <v>Sassari</v>
          </cell>
          <cell r="F306" t="str">
            <v>Direttore UOT</v>
          </cell>
          <cell r="K306" t="str">
            <v>X</v>
          </cell>
          <cell r="M306" t="str">
            <v>X</v>
          </cell>
          <cell r="P306" t="str">
            <v>in pensione dal 01/09/2024</v>
          </cell>
        </row>
        <row r="307">
          <cell r="D307" t="str">
            <v>Sassari</v>
          </cell>
          <cell r="F307" t="str">
            <v>Ricercatore</v>
          </cell>
          <cell r="J307" t="str">
            <v>X</v>
          </cell>
          <cell r="L307" t="str">
            <v>X</v>
          </cell>
          <cell r="M307" t="str">
            <v>X</v>
          </cell>
        </row>
        <row r="308">
          <cell r="D308" t="str">
            <v>Sassari</v>
          </cell>
          <cell r="F308" t="str">
            <v>CTER</v>
          </cell>
          <cell r="J308" t="str">
            <v>X</v>
          </cell>
          <cell r="L308" t="str">
            <v>X</v>
          </cell>
        </row>
        <row r="309">
          <cell r="D309" t="str">
            <v>Sassari</v>
          </cell>
          <cell r="F309" t="str">
            <v>CTER</v>
          </cell>
          <cell r="K309" t="str">
            <v>X</v>
          </cell>
          <cell r="L309" t="str">
            <v>X</v>
          </cell>
          <cell r="M309" t="str">
            <v>X</v>
          </cell>
        </row>
        <row r="310">
          <cell r="D310" t="str">
            <v>Sassari</v>
          </cell>
          <cell r="F310" t="str">
            <v>Collaboratore Di Amministrazione</v>
          </cell>
        </row>
        <row r="311">
          <cell r="D311" t="str">
            <v>Sassari</v>
          </cell>
          <cell r="F311" t="str">
            <v>Collaboratore Di Amministrazione</v>
          </cell>
        </row>
        <row r="312">
          <cell r="D312" t="str">
            <v>Taranto</v>
          </cell>
          <cell r="F312" t="str">
            <v>Direttore UOT</v>
          </cell>
          <cell r="J312" t="str">
            <v>X</v>
          </cell>
          <cell r="L312" t="str">
            <v>X</v>
          </cell>
        </row>
        <row r="313">
          <cell r="D313" t="str">
            <v>Taranto</v>
          </cell>
          <cell r="F313" t="str">
            <v>Ricercatore</v>
          </cell>
          <cell r="K313" t="str">
            <v>X</v>
          </cell>
          <cell r="M313" t="str">
            <v>X</v>
          </cell>
        </row>
        <row r="314">
          <cell r="D314" t="str">
            <v>Taranto</v>
          </cell>
          <cell r="F314" t="str">
            <v>CTER con Incarico di Responsabilita'</v>
          </cell>
          <cell r="K314" t="str">
            <v>X</v>
          </cell>
          <cell r="M314" t="str">
            <v>X</v>
          </cell>
        </row>
        <row r="315">
          <cell r="D315" t="str">
            <v>Taranto</v>
          </cell>
          <cell r="F315" t="str">
            <v>CTER</v>
          </cell>
          <cell r="J315" t="str">
            <v>X</v>
          </cell>
        </row>
        <row r="316">
          <cell r="D316" t="str">
            <v>Taranto</v>
          </cell>
          <cell r="F316" t="str">
            <v>Operatore Tecnico</v>
          </cell>
        </row>
        <row r="317">
          <cell r="D317" t="str">
            <v>Taranto</v>
          </cell>
          <cell r="F317" t="str">
            <v>Collaboratore Di Amministrazione</v>
          </cell>
        </row>
        <row r="318">
          <cell r="D318" t="str">
            <v>Taranto</v>
          </cell>
          <cell r="F318" t="str">
            <v>Collaboratore Di Amministrazione</v>
          </cell>
        </row>
        <row r="319">
          <cell r="D319" t="str">
            <v>Taranto</v>
          </cell>
          <cell r="F319" t="str">
            <v>Collaboratore Di Amministrazione</v>
          </cell>
        </row>
        <row r="320">
          <cell r="D320" t="str">
            <v>Taranto</v>
          </cell>
          <cell r="F320" t="str">
            <v>Operatore Di Amministrazione</v>
          </cell>
        </row>
        <row r="321">
          <cell r="D321" t="str">
            <v>Taranto</v>
          </cell>
          <cell r="F321" t="str">
            <v>Tecnologo</v>
          </cell>
          <cell r="J321" t="str">
            <v>X</v>
          </cell>
          <cell r="K321" t="str">
            <v>X</v>
          </cell>
        </row>
        <row r="322">
          <cell r="D322" t="str">
            <v>Taranto</v>
          </cell>
          <cell r="F322" t="str">
            <v>Tecnologo</v>
          </cell>
        </row>
        <row r="323">
          <cell r="D323" t="str">
            <v>Terni</v>
          </cell>
          <cell r="F323" t="str">
            <v>Direttore UOT</v>
          </cell>
          <cell r="J323" t="str">
            <v>X</v>
          </cell>
          <cell r="K323" t="str">
            <v>X</v>
          </cell>
          <cell r="P323" t="str">
            <v xml:space="preserve">SOLLEVAMENTO: Apparecchi di sollevamento materiali e persone </v>
          </cell>
        </row>
        <row r="324">
          <cell r="D324" t="str">
            <v>Terni</v>
          </cell>
          <cell r="F324" t="str">
            <v>Tecnologo</v>
          </cell>
          <cell r="K324" t="str">
            <v>X</v>
          </cell>
          <cell r="P324" t="str">
            <v>SOLLEVAMENTO: Apparecchi di sollevamento materiali</v>
          </cell>
        </row>
        <row r="325">
          <cell r="D325" t="str">
            <v>Terni</v>
          </cell>
          <cell r="F325" t="str">
            <v>Tecnologo</v>
          </cell>
          <cell r="M325" t="str">
            <v>X</v>
          </cell>
        </row>
        <row r="326">
          <cell r="D326" t="str">
            <v>Terni</v>
          </cell>
          <cell r="F326" t="str">
            <v>CTER</v>
          </cell>
          <cell r="L326" t="str">
            <v>X</v>
          </cell>
        </row>
        <row r="327">
          <cell r="D327" t="str">
            <v>Terni</v>
          </cell>
          <cell r="F327" t="str">
            <v>CTER</v>
          </cell>
          <cell r="J327" t="str">
            <v>X</v>
          </cell>
          <cell r="P327" t="str">
            <v>PRESSIONE: limitatatmente alle tipologie e installazioni più semplici</v>
          </cell>
        </row>
        <row r="328">
          <cell r="D328" t="str">
            <v>Terni</v>
          </cell>
          <cell r="F328" t="str">
            <v>Collaboratore Di Amministrazione</v>
          </cell>
        </row>
        <row r="329">
          <cell r="D329" t="str">
            <v>Terni</v>
          </cell>
          <cell r="F329" t="str">
            <v>Collaboratore Di Amministrazione</v>
          </cell>
        </row>
        <row r="330">
          <cell r="D330" t="str">
            <v>Terni</v>
          </cell>
          <cell r="F330" t="str">
            <v>Collaboratore Di Amministrazione</v>
          </cell>
        </row>
        <row r="331">
          <cell r="D331" t="str">
            <v>Terni</v>
          </cell>
          <cell r="F331" t="str">
            <v>Collaboratore Di Amministrazione</v>
          </cell>
        </row>
        <row r="332">
          <cell r="D332" t="str">
            <v>Terni</v>
          </cell>
          <cell r="F332" t="str">
            <v>Collaboratore Di Amministrazione</v>
          </cell>
        </row>
        <row r="333">
          <cell r="D333" t="str">
            <v>Terni</v>
          </cell>
          <cell r="F333" t="str">
            <v>Funzionario Amministrativo</v>
          </cell>
        </row>
        <row r="334">
          <cell r="D334" t="str">
            <v>Torino</v>
          </cell>
          <cell r="F334" t="str">
            <v>Direttore UOT</v>
          </cell>
          <cell r="K334" t="str">
            <v>X</v>
          </cell>
          <cell r="M334" t="str">
            <v>X</v>
          </cell>
          <cell r="P334" t="str">
            <v>Direttore ad Interim anche della UOT di Aosta
D.Lgs 105/2015 (Ispezioni a RIR e Componente CTR)</v>
          </cell>
        </row>
        <row r="335">
          <cell r="D335" t="str">
            <v>Torino</v>
          </cell>
          <cell r="F335" t="str">
            <v>Tecnologo</v>
          </cell>
          <cell r="J335" t="str">
            <v>X</v>
          </cell>
          <cell r="L335" t="str">
            <v>X</v>
          </cell>
          <cell r="P335" t="str">
            <v>D.Lgs 105/2015 (Ispezioni a RIR)</v>
          </cell>
        </row>
        <row r="336">
          <cell r="D336" t="str">
            <v>Torino</v>
          </cell>
          <cell r="F336" t="str">
            <v>Tecnologo</v>
          </cell>
          <cell r="J336" t="str">
            <v>X</v>
          </cell>
          <cell r="L336" t="str">
            <v>X</v>
          </cell>
          <cell r="P336" t="str">
            <v>D.Lgs 105/2015 (Ispezioni a RIR)
Delegato CIVA (Supporto amm.vo)</v>
          </cell>
        </row>
        <row r="337">
          <cell r="D337" t="str">
            <v>Torino</v>
          </cell>
          <cell r="F337" t="str">
            <v>CTER con Incarico di Responsabilita'</v>
          </cell>
        </row>
        <row r="338">
          <cell r="D338" t="str">
            <v>Torino</v>
          </cell>
          <cell r="F338" t="str">
            <v>CTER</v>
          </cell>
          <cell r="K338" t="str">
            <v>X</v>
          </cell>
        </row>
        <row r="339">
          <cell r="D339" t="str">
            <v>Torino</v>
          </cell>
          <cell r="F339" t="str">
            <v>CTER</v>
          </cell>
          <cell r="L339" t="str">
            <v>X</v>
          </cell>
          <cell r="P339" t="str">
            <v>D.Lgs 105/2015 (Ispezioni a RIR)</v>
          </cell>
        </row>
        <row r="340">
          <cell r="D340" t="str">
            <v>Torino</v>
          </cell>
          <cell r="F340" t="str">
            <v>Collaboratore Di Amministrazione</v>
          </cell>
        </row>
        <row r="341">
          <cell r="D341" t="str">
            <v>Udine</v>
          </cell>
          <cell r="F341" t="str">
            <v>Direttore UOT</v>
          </cell>
        </row>
        <row r="342">
          <cell r="D342" t="str">
            <v>Udine</v>
          </cell>
          <cell r="F342" t="str">
            <v>Tecnologo</v>
          </cell>
        </row>
        <row r="343">
          <cell r="D343" t="str">
            <v>Udine</v>
          </cell>
          <cell r="F343" t="str">
            <v>Ricercatore</v>
          </cell>
        </row>
        <row r="344">
          <cell r="D344" t="str">
            <v>Udine</v>
          </cell>
          <cell r="F344" t="str">
            <v>Operatore Tecnico</v>
          </cell>
        </row>
        <row r="345">
          <cell r="D345" t="str">
            <v>Udine</v>
          </cell>
          <cell r="F345" t="str">
            <v>Operatore Di Amministrazione</v>
          </cell>
        </row>
        <row r="346">
          <cell r="D346" t="str">
            <v>Venezia</v>
          </cell>
          <cell r="F346" t="str">
            <v>Direttore UOT</v>
          </cell>
          <cell r="P346" t="str">
            <v>NOTA per UOT di Venezia-Mestre da parte del Direttore (aggiornamento del 15/05/2024): 
le attività per le quali sarebbe auspicabile un supporto esterno sono:
•	Apparecchi a pressione_Messa in servizio di apparecchiature a pressione_ in particolare per l’</v>
          </cell>
        </row>
        <row r="347">
          <cell r="D347" t="str">
            <v>Venezia</v>
          </cell>
          <cell r="F347" t="str">
            <v>Tecnologo</v>
          </cell>
          <cell r="J347" t="str">
            <v>X</v>
          </cell>
          <cell r="P347" t="str">
            <v>PRESSIONE: compresa certificazione PED
CTR e Ispettore Seveso</v>
          </cell>
        </row>
        <row r="348">
          <cell r="D348" t="str">
            <v>Venezia</v>
          </cell>
          <cell r="F348" t="str">
            <v>Tecnologo</v>
          </cell>
          <cell r="L348" t="str">
            <v>X</v>
          </cell>
          <cell r="P348" t="str">
            <v>CTR</v>
          </cell>
        </row>
        <row r="349">
          <cell r="D349" t="str">
            <v>Venezia</v>
          </cell>
          <cell r="F349" t="str">
            <v>CTER con Incarico di Responsabilita'</v>
          </cell>
          <cell r="J349" t="str">
            <v>X</v>
          </cell>
          <cell r="L349" t="str">
            <v>X</v>
          </cell>
          <cell r="P349" t="str">
            <v>PRESSIONE: compresa certificazione PED e TPED 
Ispettore Seveso</v>
          </cell>
        </row>
        <row r="350">
          <cell r="D350" t="str">
            <v>Venezia</v>
          </cell>
          <cell r="F350" t="str">
            <v>CTER</v>
          </cell>
          <cell r="L350" t="str">
            <v>X</v>
          </cell>
        </row>
        <row r="351">
          <cell r="D351" t="str">
            <v>Venezia</v>
          </cell>
          <cell r="F351" t="str">
            <v>CTER</v>
          </cell>
          <cell r="J351" t="str">
            <v>X</v>
          </cell>
          <cell r="L351" t="str">
            <v>X</v>
          </cell>
          <cell r="P351" t="str">
            <v>PRESSIONE: compresa certificazione TPED 
Abiliazione Seveso in corso (agg. 15/05/2024)</v>
          </cell>
        </row>
        <row r="352">
          <cell r="D352" t="str">
            <v>Venezia</v>
          </cell>
          <cell r="F352" t="str">
            <v>Collaboratore Di Amministrazione</v>
          </cell>
          <cell r="M352" t="str">
            <v>X</v>
          </cell>
          <cell r="P352" t="str">
            <v>Supporto Amministrativo
Attualmente in aspettativa all'estero (agg. 15/05/2024)</v>
          </cell>
        </row>
        <row r="353">
          <cell r="D353" t="str">
            <v>Venezia</v>
          </cell>
          <cell r="F353" t="str">
            <v>Collaboratore Di Amministrazione</v>
          </cell>
          <cell r="L353" t="str">
            <v>X</v>
          </cell>
          <cell r="M353" t="str">
            <v>X</v>
          </cell>
          <cell r="P353" t="str">
            <v>Supporto Amministrativo</v>
          </cell>
        </row>
        <row r="354">
          <cell r="D354" t="str">
            <v>Venezia</v>
          </cell>
          <cell r="F354" t="str">
            <v>Collaboratore Di Amministrazione</v>
          </cell>
          <cell r="J354" t="str">
            <v>X</v>
          </cell>
          <cell r="K354" t="str">
            <v>X</v>
          </cell>
          <cell r="P354" t="str">
            <v>Supporto Amministrativo</v>
          </cell>
        </row>
        <row r="355">
          <cell r="D355" t="str">
            <v>Venezia</v>
          </cell>
          <cell r="F355" t="str">
            <v>Operatore Di Amministrazione</v>
          </cell>
        </row>
        <row r="356">
          <cell r="D356" t="str">
            <v>Verona</v>
          </cell>
          <cell r="F356" t="str">
            <v>Direttore UOT</v>
          </cell>
          <cell r="K356" t="str">
            <v>X</v>
          </cell>
          <cell r="M356" t="str">
            <v>X</v>
          </cell>
          <cell r="P356" t="str">
            <v>SOLLEVAMENTO: Ascensori e Montacarichi da Cantiere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.accascina@inail.it" TargetMode="External"/><Relationship Id="rId299" Type="http://schemas.openxmlformats.org/officeDocument/2006/relationships/hyperlink" Target="mailto:m.maurino@inail.it" TargetMode="External"/><Relationship Id="rId21" Type="http://schemas.openxmlformats.org/officeDocument/2006/relationships/hyperlink" Target="mailto:r.luciano@inail.it" TargetMode="External"/><Relationship Id="rId63" Type="http://schemas.openxmlformats.org/officeDocument/2006/relationships/hyperlink" Target="mailto:c.donati@inail.it" TargetMode="External"/><Relationship Id="rId159" Type="http://schemas.openxmlformats.org/officeDocument/2006/relationships/hyperlink" Target="mailto:m.bellissimo@inail.it" TargetMode="External"/><Relationship Id="rId324" Type="http://schemas.openxmlformats.org/officeDocument/2006/relationships/hyperlink" Target="mailto:a.sibilano@inail.it" TargetMode="External"/><Relationship Id="rId366" Type="http://schemas.openxmlformats.org/officeDocument/2006/relationships/hyperlink" Target="mailto:e.mazzetti@inail.it" TargetMode="External"/><Relationship Id="rId531" Type="http://schemas.openxmlformats.org/officeDocument/2006/relationships/hyperlink" Target="mailto:e.opromolla@inail.it" TargetMode="External"/><Relationship Id="rId170" Type="http://schemas.openxmlformats.org/officeDocument/2006/relationships/hyperlink" Target="mailto:s.penzo@inail.it" TargetMode="External"/><Relationship Id="rId226" Type="http://schemas.openxmlformats.org/officeDocument/2006/relationships/hyperlink" Target="mailto:s.manna@inail.it" TargetMode="External"/><Relationship Id="rId433" Type="http://schemas.openxmlformats.org/officeDocument/2006/relationships/hyperlink" Target="mailto:s.chiarelli@inail.it" TargetMode="External"/><Relationship Id="rId268" Type="http://schemas.openxmlformats.org/officeDocument/2006/relationships/hyperlink" Target="mailto:m.faiella@inail.it" TargetMode="External"/><Relationship Id="rId475" Type="http://schemas.openxmlformats.org/officeDocument/2006/relationships/hyperlink" Target="mailto:f.grubissich@inail.it" TargetMode="External"/><Relationship Id="rId32" Type="http://schemas.openxmlformats.org/officeDocument/2006/relationships/hyperlink" Target="mailto:f.vitucci@inail.it" TargetMode="External"/><Relationship Id="rId74" Type="http://schemas.openxmlformats.org/officeDocument/2006/relationships/hyperlink" Target="mailto:g.cellamare@inail.it" TargetMode="External"/><Relationship Id="rId128" Type="http://schemas.openxmlformats.org/officeDocument/2006/relationships/hyperlink" Target="mailto:o.isaia@inail.it" TargetMode="External"/><Relationship Id="rId335" Type="http://schemas.openxmlformats.org/officeDocument/2006/relationships/hyperlink" Target="mailto:g.conta@inail.it" TargetMode="External"/><Relationship Id="rId377" Type="http://schemas.openxmlformats.org/officeDocument/2006/relationships/hyperlink" Target="mailto:l.cavicchi@inail.it" TargetMode="External"/><Relationship Id="rId500" Type="http://schemas.openxmlformats.org/officeDocument/2006/relationships/hyperlink" Target="mailto:a.romanelli@inail.it" TargetMode="External"/><Relationship Id="rId542" Type="http://schemas.openxmlformats.org/officeDocument/2006/relationships/hyperlink" Target="mailto:p.addonizio@inail.it" TargetMode="External"/><Relationship Id="rId5" Type="http://schemas.openxmlformats.org/officeDocument/2006/relationships/hyperlink" Target="mailto:r.giraldi@inail.it" TargetMode="External"/><Relationship Id="rId181" Type="http://schemas.openxmlformats.org/officeDocument/2006/relationships/hyperlink" Target="mailto:b.defina@inail.it" TargetMode="External"/><Relationship Id="rId237" Type="http://schemas.openxmlformats.org/officeDocument/2006/relationships/hyperlink" Target="mailto:g.bagordo@inail.it" TargetMode="External"/><Relationship Id="rId402" Type="http://schemas.openxmlformats.org/officeDocument/2006/relationships/hyperlink" Target="mailto:s.denaro@inail.it" TargetMode="External"/><Relationship Id="rId279" Type="http://schemas.openxmlformats.org/officeDocument/2006/relationships/hyperlink" Target="mailto:r.vasile@inail.it" TargetMode="External"/><Relationship Id="rId444" Type="http://schemas.openxmlformats.org/officeDocument/2006/relationships/hyperlink" Target="mailto:s.vacquer@inail.it" TargetMode="External"/><Relationship Id="rId486" Type="http://schemas.openxmlformats.org/officeDocument/2006/relationships/hyperlink" Target="mailto:ro.longo@inail.it" TargetMode="External"/><Relationship Id="rId43" Type="http://schemas.openxmlformats.org/officeDocument/2006/relationships/hyperlink" Target="mailto:d.cannas@inail.it" TargetMode="External"/><Relationship Id="rId139" Type="http://schemas.openxmlformats.org/officeDocument/2006/relationships/hyperlink" Target="mailto:g.grillone@inail.it" TargetMode="External"/><Relationship Id="rId290" Type="http://schemas.openxmlformats.org/officeDocument/2006/relationships/hyperlink" Target="mailto:r.iovene@inail.it" TargetMode="External"/><Relationship Id="rId304" Type="http://schemas.openxmlformats.org/officeDocument/2006/relationships/hyperlink" Target="mailto:a.scanu@inail.it" TargetMode="External"/><Relationship Id="rId346" Type="http://schemas.openxmlformats.org/officeDocument/2006/relationships/hyperlink" Target="mailto:c.nastasi@inail.it" TargetMode="External"/><Relationship Id="rId388" Type="http://schemas.openxmlformats.org/officeDocument/2006/relationships/hyperlink" Target="mailto:fr.viola@inail.it" TargetMode="External"/><Relationship Id="rId511" Type="http://schemas.openxmlformats.org/officeDocument/2006/relationships/hyperlink" Target="mailto:a.tortorici@inail.it" TargetMode="External"/><Relationship Id="rId85" Type="http://schemas.openxmlformats.org/officeDocument/2006/relationships/hyperlink" Target="mailto:g.olivo@inail.it" TargetMode="External"/><Relationship Id="rId150" Type="http://schemas.openxmlformats.org/officeDocument/2006/relationships/hyperlink" Target="mailto:a.tammuzza@inail.it" TargetMode="External"/><Relationship Id="rId192" Type="http://schemas.openxmlformats.org/officeDocument/2006/relationships/hyperlink" Target="mailto:d.sallustio@inail.it" TargetMode="External"/><Relationship Id="rId206" Type="http://schemas.openxmlformats.org/officeDocument/2006/relationships/hyperlink" Target="mailto:c.derobertis@inail.it" TargetMode="External"/><Relationship Id="rId413" Type="http://schemas.openxmlformats.org/officeDocument/2006/relationships/hyperlink" Target="mailto:a.dalmonte@inail.it" TargetMode="External"/><Relationship Id="rId248" Type="http://schemas.openxmlformats.org/officeDocument/2006/relationships/hyperlink" Target="mailto:m.falzea@inail.it" TargetMode="External"/><Relationship Id="rId455" Type="http://schemas.openxmlformats.org/officeDocument/2006/relationships/hyperlink" Target="mailto:g.ladaga@inail.it" TargetMode="External"/><Relationship Id="rId497" Type="http://schemas.openxmlformats.org/officeDocument/2006/relationships/hyperlink" Target="mailto:s.manna@inail.it" TargetMode="External"/><Relationship Id="rId12" Type="http://schemas.openxmlformats.org/officeDocument/2006/relationships/hyperlink" Target="mailto:c.piccolo@inail.it" TargetMode="External"/><Relationship Id="rId108" Type="http://schemas.openxmlformats.org/officeDocument/2006/relationships/hyperlink" Target="mailto:r.cigliano@inail.it" TargetMode="External"/><Relationship Id="rId315" Type="http://schemas.openxmlformats.org/officeDocument/2006/relationships/hyperlink" Target="mailto:d.cionchi@inail.it" TargetMode="External"/><Relationship Id="rId357" Type="http://schemas.openxmlformats.org/officeDocument/2006/relationships/hyperlink" Target="mailto:g.gurnari@inail.it" TargetMode="External"/><Relationship Id="rId522" Type="http://schemas.openxmlformats.org/officeDocument/2006/relationships/hyperlink" Target="mailto:m.platania@inail.it" TargetMode="External"/><Relationship Id="rId54" Type="http://schemas.openxmlformats.org/officeDocument/2006/relationships/hyperlink" Target="mailto:f.biondini@inail.it" TargetMode="External"/><Relationship Id="rId96" Type="http://schemas.openxmlformats.org/officeDocument/2006/relationships/hyperlink" Target="mailto:d.greatti@inail.it" TargetMode="External"/><Relationship Id="rId161" Type="http://schemas.openxmlformats.org/officeDocument/2006/relationships/hyperlink" Target="mailto:r.sunseri@inail.it" TargetMode="External"/><Relationship Id="rId217" Type="http://schemas.openxmlformats.org/officeDocument/2006/relationships/hyperlink" Target="mailto:a.cicaterri@inail.it" TargetMode="External"/><Relationship Id="rId399" Type="http://schemas.openxmlformats.org/officeDocument/2006/relationships/hyperlink" Target="mailto:o.isaia@inail.it" TargetMode="External"/><Relationship Id="rId259" Type="http://schemas.openxmlformats.org/officeDocument/2006/relationships/hyperlink" Target="mailto:d.sorrentino@inail.it" TargetMode="External"/><Relationship Id="rId424" Type="http://schemas.openxmlformats.org/officeDocument/2006/relationships/hyperlink" Target="mailto:f.filippone@inail.it" TargetMode="External"/><Relationship Id="rId466" Type="http://schemas.openxmlformats.org/officeDocument/2006/relationships/hyperlink" Target="mailto:f.nigri@inail.it" TargetMode="External"/><Relationship Id="rId23" Type="http://schemas.openxmlformats.org/officeDocument/2006/relationships/hyperlink" Target="mailto:m.gaita@inail.it" TargetMode="External"/><Relationship Id="rId119" Type="http://schemas.openxmlformats.org/officeDocument/2006/relationships/hyperlink" Target="mailto:f.saba@inail.it" TargetMode="External"/><Relationship Id="rId270" Type="http://schemas.openxmlformats.org/officeDocument/2006/relationships/hyperlink" Target="mailto:n.romagnuolo@inail.it" TargetMode="External"/><Relationship Id="rId326" Type="http://schemas.openxmlformats.org/officeDocument/2006/relationships/hyperlink" Target="mailto:a.mele@inail.it" TargetMode="External"/><Relationship Id="rId533" Type="http://schemas.openxmlformats.org/officeDocument/2006/relationships/hyperlink" Target="mailto:f.diguida@inail.it" TargetMode="External"/><Relationship Id="rId65" Type="http://schemas.openxmlformats.org/officeDocument/2006/relationships/hyperlink" Target="mailto:f.panin@inail.it" TargetMode="External"/><Relationship Id="rId130" Type="http://schemas.openxmlformats.org/officeDocument/2006/relationships/hyperlink" Target="mailto:r.randazzo@inail.it" TargetMode="External"/><Relationship Id="rId368" Type="http://schemas.openxmlformats.org/officeDocument/2006/relationships/hyperlink" Target="mailto:l.minerva@inail.it" TargetMode="External"/><Relationship Id="rId172" Type="http://schemas.openxmlformats.org/officeDocument/2006/relationships/hyperlink" Target="mailto:p.lunardelli@inail.it" TargetMode="External"/><Relationship Id="rId228" Type="http://schemas.openxmlformats.org/officeDocument/2006/relationships/hyperlink" Target="mailto:ur.romano@inail.it" TargetMode="External"/><Relationship Id="rId435" Type="http://schemas.openxmlformats.org/officeDocument/2006/relationships/hyperlink" Target="mailto:a.depalma@inail.it" TargetMode="External"/><Relationship Id="rId477" Type="http://schemas.openxmlformats.org/officeDocument/2006/relationships/hyperlink" Target="mailto:c.derobertis@inail.it" TargetMode="External"/><Relationship Id="rId281" Type="http://schemas.openxmlformats.org/officeDocument/2006/relationships/hyperlink" Target="mailto:a.dalessandro@inail.it" TargetMode="External"/><Relationship Id="rId337" Type="http://schemas.openxmlformats.org/officeDocument/2006/relationships/hyperlink" Target="mailto:o.forlini@inail.it" TargetMode="External"/><Relationship Id="rId502" Type="http://schemas.openxmlformats.org/officeDocument/2006/relationships/hyperlink" Target="mailto:d.mancuso@inail.it" TargetMode="External"/><Relationship Id="rId34" Type="http://schemas.openxmlformats.org/officeDocument/2006/relationships/hyperlink" Target="mailto:f.ioppolo@inail.it" TargetMode="External"/><Relationship Id="rId76" Type="http://schemas.openxmlformats.org/officeDocument/2006/relationships/hyperlink" Target="mailto:v.galasso@inail.it" TargetMode="External"/><Relationship Id="rId141" Type="http://schemas.openxmlformats.org/officeDocument/2006/relationships/hyperlink" Target="mailto:r.ciancio@inail.it" TargetMode="External"/><Relationship Id="rId379" Type="http://schemas.openxmlformats.org/officeDocument/2006/relationships/hyperlink" Target="mailto:r.denicola@inail.it" TargetMode="External"/><Relationship Id="rId544" Type="http://schemas.openxmlformats.org/officeDocument/2006/relationships/hyperlink" Target="mailto:v.vosa@inail.it" TargetMode="External"/><Relationship Id="rId7" Type="http://schemas.openxmlformats.org/officeDocument/2006/relationships/hyperlink" Target="mailto:g.conta@inail.it" TargetMode="External"/><Relationship Id="rId183" Type="http://schemas.openxmlformats.org/officeDocument/2006/relationships/hyperlink" Target="mailto:g.smaldore@inail.it" TargetMode="External"/><Relationship Id="rId239" Type="http://schemas.openxmlformats.org/officeDocument/2006/relationships/hyperlink" Target="mailto:p.lenzuni@inail.it" TargetMode="External"/><Relationship Id="rId390" Type="http://schemas.openxmlformats.org/officeDocument/2006/relationships/hyperlink" Target="mailto:mp.gatto@inail.it" TargetMode="External"/><Relationship Id="rId404" Type="http://schemas.openxmlformats.org/officeDocument/2006/relationships/hyperlink" Target="mailto:s.festa@inail.it" TargetMode="External"/><Relationship Id="rId446" Type="http://schemas.openxmlformats.org/officeDocument/2006/relationships/hyperlink" Target="mailto:f.moncini@inail.it" TargetMode="External"/><Relationship Id="rId250" Type="http://schemas.openxmlformats.org/officeDocument/2006/relationships/hyperlink" Target="mailto:m.giuffrida@inail.it" TargetMode="External"/><Relationship Id="rId292" Type="http://schemas.openxmlformats.org/officeDocument/2006/relationships/hyperlink" Target="mailto:rg.russo@inail.it" TargetMode="External"/><Relationship Id="rId306" Type="http://schemas.openxmlformats.org/officeDocument/2006/relationships/hyperlink" Target="mailto:f.biondini@inail.it" TargetMode="External"/><Relationship Id="rId488" Type="http://schemas.openxmlformats.org/officeDocument/2006/relationships/hyperlink" Target="mailto:a.cicaterri@inail.it" TargetMode="External"/><Relationship Id="rId45" Type="http://schemas.openxmlformats.org/officeDocument/2006/relationships/hyperlink" Target="mailto:g.cappai@inail.it" TargetMode="External"/><Relationship Id="rId87" Type="http://schemas.openxmlformats.org/officeDocument/2006/relationships/hyperlink" Target="mailto:l.gallerano@inail.it" TargetMode="External"/><Relationship Id="rId110" Type="http://schemas.openxmlformats.org/officeDocument/2006/relationships/hyperlink" Target="mailto:d.tropiano@inail.it" TargetMode="External"/><Relationship Id="rId348" Type="http://schemas.openxmlformats.org/officeDocument/2006/relationships/hyperlink" Target="mailto:g.olivo@inail.it" TargetMode="External"/><Relationship Id="rId513" Type="http://schemas.openxmlformats.org/officeDocument/2006/relationships/hyperlink" Target="mailto:c.grazioli@inail.it" TargetMode="External"/><Relationship Id="rId152" Type="http://schemas.openxmlformats.org/officeDocument/2006/relationships/hyperlink" Target="mailto:f.amaro@inail.it" TargetMode="External"/><Relationship Id="rId194" Type="http://schemas.openxmlformats.org/officeDocument/2006/relationships/hyperlink" Target="mailto:f.sciancalepore@inail.it" TargetMode="External"/><Relationship Id="rId208" Type="http://schemas.openxmlformats.org/officeDocument/2006/relationships/hyperlink" Target="mailto:m.bardi@inail.it" TargetMode="External"/><Relationship Id="rId415" Type="http://schemas.openxmlformats.org/officeDocument/2006/relationships/hyperlink" Target="mailto:e.franchi@inail.it" TargetMode="External"/><Relationship Id="rId457" Type="http://schemas.openxmlformats.org/officeDocument/2006/relationships/hyperlink" Target="mailto:i.mollone@inail.it" TargetMode="External"/><Relationship Id="rId261" Type="http://schemas.openxmlformats.org/officeDocument/2006/relationships/hyperlink" Target="mailto:e.decandia@inail.it" TargetMode="External"/><Relationship Id="rId499" Type="http://schemas.openxmlformats.org/officeDocument/2006/relationships/hyperlink" Target="mailto:ur.romano@inail.it" TargetMode="External"/><Relationship Id="rId14" Type="http://schemas.openxmlformats.org/officeDocument/2006/relationships/hyperlink" Target="mailto:e.spagnuolo@inail.it" TargetMode="External"/><Relationship Id="rId56" Type="http://schemas.openxmlformats.org/officeDocument/2006/relationships/hyperlink" Target="mailto:m.palazzi@inail.it" TargetMode="External"/><Relationship Id="rId317" Type="http://schemas.openxmlformats.org/officeDocument/2006/relationships/hyperlink" Target="mailto:f.digrazia@inail.it" TargetMode="External"/><Relationship Id="rId359" Type="http://schemas.openxmlformats.org/officeDocument/2006/relationships/hyperlink" Target="mailto:d.greatti@inail.it" TargetMode="External"/><Relationship Id="rId524" Type="http://schemas.openxmlformats.org/officeDocument/2006/relationships/hyperlink" Target="mailto:r.dirosa@inail.it" TargetMode="External"/><Relationship Id="rId98" Type="http://schemas.openxmlformats.org/officeDocument/2006/relationships/hyperlink" Target="mailto:s.corazza@inail.it" TargetMode="External"/><Relationship Id="rId121" Type="http://schemas.openxmlformats.org/officeDocument/2006/relationships/hyperlink" Target="mailto:s.zurrida@inail.it" TargetMode="External"/><Relationship Id="rId163" Type="http://schemas.openxmlformats.org/officeDocument/2006/relationships/hyperlink" Target="mailto:v.nastasi@inail.it" TargetMode="External"/><Relationship Id="rId219" Type="http://schemas.openxmlformats.org/officeDocument/2006/relationships/hyperlink" Target="mailto:f.ditosto@inail.it" TargetMode="External"/><Relationship Id="rId370" Type="http://schemas.openxmlformats.org/officeDocument/2006/relationships/hyperlink" Target="mailto:p.marchi@inail.it" TargetMode="External"/><Relationship Id="rId426" Type="http://schemas.openxmlformats.org/officeDocument/2006/relationships/hyperlink" Target="mailto:g.sunseri@inail.it" TargetMode="External"/><Relationship Id="rId230" Type="http://schemas.openxmlformats.org/officeDocument/2006/relationships/hyperlink" Target="mailto:a.casillo@inail.it" TargetMode="External"/><Relationship Id="rId468" Type="http://schemas.openxmlformats.org/officeDocument/2006/relationships/hyperlink" Target="mailto:g.degennaro@inail.it" TargetMode="External"/><Relationship Id="rId25" Type="http://schemas.openxmlformats.org/officeDocument/2006/relationships/hyperlink" Target="mailto:r.dileo@inail.it" TargetMode="External"/><Relationship Id="rId67" Type="http://schemas.openxmlformats.org/officeDocument/2006/relationships/hyperlink" Target="mailto:a.sibilano@inail.it" TargetMode="External"/><Relationship Id="rId272" Type="http://schemas.openxmlformats.org/officeDocument/2006/relationships/hyperlink" Target="mailto:t.pagliuso@inail.it" TargetMode="External"/><Relationship Id="rId328" Type="http://schemas.openxmlformats.org/officeDocument/2006/relationships/hyperlink" Target="mailto:d.manca@inail.it" TargetMode="External"/><Relationship Id="rId535" Type="http://schemas.openxmlformats.org/officeDocument/2006/relationships/hyperlink" Target="mailto:g.peronepacifico@inail.it" TargetMode="External"/><Relationship Id="rId132" Type="http://schemas.openxmlformats.org/officeDocument/2006/relationships/hyperlink" Target="mailto:s.figura@inail.it" TargetMode="External"/><Relationship Id="rId174" Type="http://schemas.openxmlformats.org/officeDocument/2006/relationships/hyperlink" Target="mailto:a.micciola@inail.it" TargetMode="External"/><Relationship Id="rId381" Type="http://schemas.openxmlformats.org/officeDocument/2006/relationships/hyperlink" Target="mailto:a.bebbere@inail.it" TargetMode="External"/><Relationship Id="rId220" Type="http://schemas.openxmlformats.org/officeDocument/2006/relationships/hyperlink" Target="mailto:g.gorrino@inail.it" TargetMode="External"/><Relationship Id="rId241" Type="http://schemas.openxmlformats.org/officeDocument/2006/relationships/hyperlink" Target="mailto:a.polimeni@inail.it" TargetMode="External"/><Relationship Id="rId437" Type="http://schemas.openxmlformats.org/officeDocument/2006/relationships/hyperlink" Target="mailto:f.boella@inail.it" TargetMode="External"/><Relationship Id="rId458" Type="http://schemas.openxmlformats.org/officeDocument/2006/relationships/hyperlink" Target="mailto:r.matteo@inail.it" TargetMode="External"/><Relationship Id="rId479" Type="http://schemas.openxmlformats.org/officeDocument/2006/relationships/hyperlink" Target="mailto:m.bardi@inail.it" TargetMode="External"/><Relationship Id="rId15" Type="http://schemas.openxmlformats.org/officeDocument/2006/relationships/hyperlink" Target="mailto:fr.viola@inail.it" TargetMode="External"/><Relationship Id="rId36" Type="http://schemas.openxmlformats.org/officeDocument/2006/relationships/hyperlink" Target="mailto:r.tucceri@inail.it" TargetMode="External"/><Relationship Id="rId57" Type="http://schemas.openxmlformats.org/officeDocument/2006/relationships/hyperlink" Target="mailto:m.tini@inail.it" TargetMode="External"/><Relationship Id="rId262" Type="http://schemas.openxmlformats.org/officeDocument/2006/relationships/hyperlink" Target="mailto:f.diguida@inail.it" TargetMode="External"/><Relationship Id="rId283" Type="http://schemas.openxmlformats.org/officeDocument/2006/relationships/hyperlink" Target="mailto:c.bizzi@inail.it" TargetMode="External"/><Relationship Id="rId318" Type="http://schemas.openxmlformats.org/officeDocument/2006/relationships/hyperlink" Target="mailto:r.giraldi@inail.it" TargetMode="External"/><Relationship Id="rId339" Type="http://schemas.openxmlformats.org/officeDocument/2006/relationships/hyperlink" Target="mailto:v.prete@inail.it" TargetMode="External"/><Relationship Id="rId490" Type="http://schemas.openxmlformats.org/officeDocument/2006/relationships/hyperlink" Target="mailto:f.ditosto@inail.it" TargetMode="External"/><Relationship Id="rId504" Type="http://schemas.openxmlformats.org/officeDocument/2006/relationships/hyperlink" Target="mailto:r.pistelli@inail.it" TargetMode="External"/><Relationship Id="rId525" Type="http://schemas.openxmlformats.org/officeDocument/2006/relationships/hyperlink" Target="mailto:a.grimaldi@inail.it" TargetMode="External"/><Relationship Id="rId546" Type="http://schemas.openxmlformats.org/officeDocument/2006/relationships/hyperlink" Target="mailto:a.morettini@inail.it" TargetMode="External"/><Relationship Id="rId78" Type="http://schemas.openxmlformats.org/officeDocument/2006/relationships/hyperlink" Target="mailto:m.loda@inail.it" TargetMode="External"/><Relationship Id="rId99" Type="http://schemas.openxmlformats.org/officeDocument/2006/relationships/hyperlink" Target="mailto:a.boninti@inail.it" TargetMode="External"/><Relationship Id="rId101" Type="http://schemas.openxmlformats.org/officeDocument/2006/relationships/hyperlink" Target="mailto:a.margutti@inail.it" TargetMode="External"/><Relationship Id="rId122" Type="http://schemas.openxmlformats.org/officeDocument/2006/relationships/hyperlink" Target="mailto:an.garofalo@inail.it" TargetMode="External"/><Relationship Id="rId143" Type="http://schemas.openxmlformats.org/officeDocument/2006/relationships/hyperlink" Target="mailto:e.lomele@inail.it" TargetMode="External"/><Relationship Id="rId164" Type="http://schemas.openxmlformats.org/officeDocument/2006/relationships/hyperlink" Target="mailto:a.depalma@inail.it" TargetMode="External"/><Relationship Id="rId185" Type="http://schemas.openxmlformats.org/officeDocument/2006/relationships/hyperlink" Target="mailto:gio.vaccaro@inail.it" TargetMode="External"/><Relationship Id="rId350" Type="http://schemas.openxmlformats.org/officeDocument/2006/relationships/hyperlink" Target="mailto:l.gallerano@inail.it" TargetMode="External"/><Relationship Id="rId371" Type="http://schemas.openxmlformats.org/officeDocument/2006/relationships/hyperlink" Target="mailto:r.cigliano@inail.it" TargetMode="External"/><Relationship Id="rId406" Type="http://schemas.openxmlformats.org/officeDocument/2006/relationships/hyperlink" Target="mailto:a.muratore@inail.it" TargetMode="External"/><Relationship Id="rId9" Type="http://schemas.openxmlformats.org/officeDocument/2006/relationships/hyperlink" Target="mailto:o.forlini@inail.it" TargetMode="External"/><Relationship Id="rId210" Type="http://schemas.openxmlformats.org/officeDocument/2006/relationships/hyperlink" Target="mailto:s.cabassa@inail.it" TargetMode="External"/><Relationship Id="rId392" Type="http://schemas.openxmlformats.org/officeDocument/2006/relationships/hyperlink" Target="mailto:r.modestino@inail.it" TargetMode="External"/><Relationship Id="rId427" Type="http://schemas.openxmlformats.org/officeDocument/2006/relationships/hyperlink" Target="mailto:gi.vaccaro@inail.it" TargetMode="External"/><Relationship Id="rId448" Type="http://schemas.openxmlformats.org/officeDocument/2006/relationships/hyperlink" Target="mailto:p.infortuna@inail.it" TargetMode="External"/><Relationship Id="rId469" Type="http://schemas.openxmlformats.org/officeDocument/2006/relationships/hyperlink" Target="mailto:g.paglione@inail.it" TargetMode="External"/><Relationship Id="rId26" Type="http://schemas.openxmlformats.org/officeDocument/2006/relationships/hyperlink" Target="mailto:g.paiardini@inail.it" TargetMode="External"/><Relationship Id="rId231" Type="http://schemas.openxmlformats.org/officeDocument/2006/relationships/hyperlink" Target="mailto:d.mancuso@inail.it" TargetMode="External"/><Relationship Id="rId252" Type="http://schemas.openxmlformats.org/officeDocument/2006/relationships/hyperlink" Target="mailto:p.sergi@inail.it" TargetMode="External"/><Relationship Id="rId273" Type="http://schemas.openxmlformats.org/officeDocument/2006/relationships/hyperlink" Target="mailto:v.vosa@inail.it" TargetMode="External"/><Relationship Id="rId294" Type="http://schemas.openxmlformats.org/officeDocument/2006/relationships/hyperlink" Target="mailto:c.lostiadisantasofia@inail.it" TargetMode="External"/><Relationship Id="rId308" Type="http://schemas.openxmlformats.org/officeDocument/2006/relationships/hyperlink" Target="mailto:m.palazzi@inail.it" TargetMode="External"/><Relationship Id="rId329" Type="http://schemas.openxmlformats.org/officeDocument/2006/relationships/hyperlink" Target="mailto:e.diponzio@inail.it" TargetMode="External"/><Relationship Id="rId480" Type="http://schemas.openxmlformats.org/officeDocument/2006/relationships/hyperlink" Target="mailto:r.milone@inail.it" TargetMode="External"/><Relationship Id="rId515" Type="http://schemas.openxmlformats.org/officeDocument/2006/relationships/hyperlink" Target="mailto:d.grillo@inail.it" TargetMode="External"/><Relationship Id="rId536" Type="http://schemas.openxmlformats.org/officeDocument/2006/relationships/hyperlink" Target="mailto:g.buccheri@inail.it" TargetMode="External"/><Relationship Id="rId47" Type="http://schemas.openxmlformats.org/officeDocument/2006/relationships/hyperlink" Target="mailto:m.maurino@inail.it" TargetMode="External"/><Relationship Id="rId68" Type="http://schemas.openxmlformats.org/officeDocument/2006/relationships/hyperlink" Target="mailto:an.pellegrini@inail.it" TargetMode="External"/><Relationship Id="rId89" Type="http://schemas.openxmlformats.org/officeDocument/2006/relationships/hyperlink" Target="mailto:m.demattia@inail.it" TargetMode="External"/><Relationship Id="rId112" Type="http://schemas.openxmlformats.org/officeDocument/2006/relationships/hyperlink" Target="mailto:f.scala@inail.it" TargetMode="External"/><Relationship Id="rId133" Type="http://schemas.openxmlformats.org/officeDocument/2006/relationships/hyperlink" Target="mailto:s.festa@inail.it" TargetMode="External"/><Relationship Id="rId154" Type="http://schemas.openxmlformats.org/officeDocument/2006/relationships/hyperlink" Target="mailto:f.sofia@inail.it" TargetMode="External"/><Relationship Id="rId175" Type="http://schemas.openxmlformats.org/officeDocument/2006/relationships/hyperlink" Target="mailto:f.moncini@inail.it" TargetMode="External"/><Relationship Id="rId340" Type="http://schemas.openxmlformats.org/officeDocument/2006/relationships/hyperlink" Target="mailto:f.rossetti@inail.it" TargetMode="External"/><Relationship Id="rId361" Type="http://schemas.openxmlformats.org/officeDocument/2006/relationships/hyperlink" Target="mailto:s.corazza@inail.it" TargetMode="External"/><Relationship Id="rId196" Type="http://schemas.openxmlformats.org/officeDocument/2006/relationships/hyperlink" Target="mailto:gi.vitale@inail.it" TargetMode="External"/><Relationship Id="rId200" Type="http://schemas.openxmlformats.org/officeDocument/2006/relationships/hyperlink" Target="mailto:m.armenise@inail.it" TargetMode="External"/><Relationship Id="rId382" Type="http://schemas.openxmlformats.org/officeDocument/2006/relationships/hyperlink" Target="mailto:f.saba@inail.it" TargetMode="External"/><Relationship Id="rId417" Type="http://schemas.openxmlformats.org/officeDocument/2006/relationships/hyperlink" Target="mailto:j.bianchi@inail.it" TargetMode="External"/><Relationship Id="rId438" Type="http://schemas.openxmlformats.org/officeDocument/2006/relationships/hyperlink" Target="mailto:g.colace@inail.it" TargetMode="External"/><Relationship Id="rId459" Type="http://schemas.openxmlformats.org/officeDocument/2006/relationships/hyperlink" Target="mailto:v.goglia@inail.it" TargetMode="External"/><Relationship Id="rId16" Type="http://schemas.openxmlformats.org/officeDocument/2006/relationships/hyperlink" Target="mailto:g.battista@inail.it" TargetMode="External"/><Relationship Id="rId221" Type="http://schemas.openxmlformats.org/officeDocument/2006/relationships/hyperlink" Target="mailto:l.cecavicchi@inail.it" TargetMode="External"/><Relationship Id="rId242" Type="http://schemas.openxmlformats.org/officeDocument/2006/relationships/hyperlink" Target="mailto:c.grazioli@inail.it" TargetMode="External"/><Relationship Id="rId263" Type="http://schemas.openxmlformats.org/officeDocument/2006/relationships/hyperlink" Target="mailto:g.dicostanzo@inail.it" TargetMode="External"/><Relationship Id="rId284" Type="http://schemas.openxmlformats.org/officeDocument/2006/relationships/hyperlink" Target="mailto:f.vitucci@inail.it" TargetMode="External"/><Relationship Id="rId319" Type="http://schemas.openxmlformats.org/officeDocument/2006/relationships/hyperlink" Target="mailto:a.salmaso@inail.it" TargetMode="External"/><Relationship Id="rId470" Type="http://schemas.openxmlformats.org/officeDocument/2006/relationships/hyperlink" Target="mailto:m.demusso@inail.it" TargetMode="External"/><Relationship Id="rId491" Type="http://schemas.openxmlformats.org/officeDocument/2006/relationships/hyperlink" Target="mailto:g.gorrino@inail.it" TargetMode="External"/><Relationship Id="rId505" Type="http://schemas.openxmlformats.org/officeDocument/2006/relationships/hyperlink" Target="mailto:c.vari@inail.it" TargetMode="External"/><Relationship Id="rId526" Type="http://schemas.openxmlformats.org/officeDocument/2006/relationships/hyperlink" Target="mailto:an.cozzolino@inail.it" TargetMode="External"/><Relationship Id="rId37" Type="http://schemas.openxmlformats.org/officeDocument/2006/relationships/hyperlink" Target="mailto:v.dalessandro@inail.it" TargetMode="External"/><Relationship Id="rId58" Type="http://schemas.openxmlformats.org/officeDocument/2006/relationships/hyperlink" Target="mailto:p.tattoli@inail.it" TargetMode="External"/><Relationship Id="rId79" Type="http://schemas.openxmlformats.org/officeDocument/2006/relationships/hyperlink" Target="mailto:n.palumbo@inail.it" TargetMode="External"/><Relationship Id="rId102" Type="http://schemas.openxmlformats.org/officeDocument/2006/relationships/hyperlink" Target="mailto:c.sclano@inail.it" TargetMode="External"/><Relationship Id="rId123" Type="http://schemas.openxmlformats.org/officeDocument/2006/relationships/hyperlink" Target="mailto:c.percolla@inail.it" TargetMode="External"/><Relationship Id="rId144" Type="http://schemas.openxmlformats.org/officeDocument/2006/relationships/hyperlink" Target="mailto:e.franchi@inail.it" TargetMode="External"/><Relationship Id="rId330" Type="http://schemas.openxmlformats.org/officeDocument/2006/relationships/hyperlink" Target="mailto:f.perri@inail.it" TargetMode="External"/><Relationship Id="rId547" Type="http://schemas.openxmlformats.org/officeDocument/2006/relationships/hyperlink" Target="mailto:f.taurasi@inail.it" TargetMode="External"/><Relationship Id="rId90" Type="http://schemas.openxmlformats.org/officeDocument/2006/relationships/hyperlink" Target="mailto:p.lipari@inail.it" TargetMode="External"/><Relationship Id="rId165" Type="http://schemas.openxmlformats.org/officeDocument/2006/relationships/hyperlink" Target="mailto:f.rocchi@inail.it" TargetMode="External"/><Relationship Id="rId186" Type="http://schemas.openxmlformats.org/officeDocument/2006/relationships/hyperlink" Target="mailto:i.mollone@inail.it" TargetMode="External"/><Relationship Id="rId351" Type="http://schemas.openxmlformats.org/officeDocument/2006/relationships/hyperlink" Target="mailto:m.sambusida@inail.it" TargetMode="External"/><Relationship Id="rId372" Type="http://schemas.openxmlformats.org/officeDocument/2006/relationships/hyperlink" Target="mailto:b.conestabiledellastaffa@inail.it" TargetMode="External"/><Relationship Id="rId393" Type="http://schemas.openxmlformats.org/officeDocument/2006/relationships/hyperlink" Target="mailto:an.garofalo@inail.it" TargetMode="External"/><Relationship Id="rId407" Type="http://schemas.openxmlformats.org/officeDocument/2006/relationships/hyperlink" Target="mailto:g.giannelli@inail.it" TargetMode="External"/><Relationship Id="rId428" Type="http://schemas.openxmlformats.org/officeDocument/2006/relationships/hyperlink" Target="mailto:gi.argento@inail.it" TargetMode="External"/><Relationship Id="rId449" Type="http://schemas.openxmlformats.org/officeDocument/2006/relationships/hyperlink" Target="mailto:r.senatore@inail.it" TargetMode="External"/><Relationship Id="rId211" Type="http://schemas.openxmlformats.org/officeDocument/2006/relationships/hyperlink" Target="mailto:a.cosentini@inail.it" TargetMode="External"/><Relationship Id="rId232" Type="http://schemas.openxmlformats.org/officeDocument/2006/relationships/hyperlink" Target="mailto:g.ceglia@inail.it" TargetMode="External"/><Relationship Id="rId253" Type="http://schemas.openxmlformats.org/officeDocument/2006/relationships/hyperlink" Target="mailto:r.dirosa@inail.it" TargetMode="External"/><Relationship Id="rId274" Type="http://schemas.openxmlformats.org/officeDocument/2006/relationships/hyperlink" Target="mailto:e.izzo@inail.it" TargetMode="External"/><Relationship Id="rId295" Type="http://schemas.openxmlformats.org/officeDocument/2006/relationships/hyperlink" Target="mailto:d.cannas@inail.it" TargetMode="External"/><Relationship Id="rId309" Type="http://schemas.openxmlformats.org/officeDocument/2006/relationships/hyperlink" Target="mailto:m.tini@inail.it" TargetMode="External"/><Relationship Id="rId460" Type="http://schemas.openxmlformats.org/officeDocument/2006/relationships/hyperlink" Target="mailto:a.colaprico@inail.it" TargetMode="External"/><Relationship Id="rId481" Type="http://schemas.openxmlformats.org/officeDocument/2006/relationships/hyperlink" Target="mailto:s.cabassa@inail.it" TargetMode="External"/><Relationship Id="rId516" Type="http://schemas.openxmlformats.org/officeDocument/2006/relationships/hyperlink" Target="mailto:f.giacobbe@inail.it" TargetMode="External"/><Relationship Id="rId27" Type="http://schemas.openxmlformats.org/officeDocument/2006/relationships/hyperlink" Target="mailto:r.vasile@inail.it" TargetMode="External"/><Relationship Id="rId48" Type="http://schemas.openxmlformats.org/officeDocument/2006/relationships/hyperlink" Target="mailto:o.spanu@inail.it" TargetMode="External"/><Relationship Id="rId69" Type="http://schemas.openxmlformats.org/officeDocument/2006/relationships/hyperlink" Target="mailto:a.mele@inail.it" TargetMode="External"/><Relationship Id="rId113" Type="http://schemas.openxmlformats.org/officeDocument/2006/relationships/hyperlink" Target="mailto:g.zuccarello@inail.it" TargetMode="External"/><Relationship Id="rId134" Type="http://schemas.openxmlformats.org/officeDocument/2006/relationships/hyperlink" Target="mailto:v.polizzotto@inail.it" TargetMode="External"/><Relationship Id="rId320" Type="http://schemas.openxmlformats.org/officeDocument/2006/relationships/hyperlink" Target="mailto:c.donati@inail.it" TargetMode="External"/><Relationship Id="rId537" Type="http://schemas.openxmlformats.org/officeDocument/2006/relationships/hyperlink" Target="mailto:giu.dantonio@inail.it" TargetMode="External"/><Relationship Id="rId80" Type="http://schemas.openxmlformats.org/officeDocument/2006/relationships/hyperlink" Target="mailto:na.rizzo@inail.it" TargetMode="External"/><Relationship Id="rId155" Type="http://schemas.openxmlformats.org/officeDocument/2006/relationships/hyperlink" Target="mailto:g.sunseri@inail.it" TargetMode="External"/><Relationship Id="rId176" Type="http://schemas.openxmlformats.org/officeDocument/2006/relationships/hyperlink" Target="mailto:mar.tedesco@inail.it" TargetMode="External"/><Relationship Id="rId197" Type="http://schemas.openxmlformats.org/officeDocument/2006/relationships/hyperlink" Target="mailto:g.degennaro@inail.it" TargetMode="External"/><Relationship Id="rId341" Type="http://schemas.openxmlformats.org/officeDocument/2006/relationships/hyperlink" Target="mailto:m.loda@inail.it" TargetMode="External"/><Relationship Id="rId362" Type="http://schemas.openxmlformats.org/officeDocument/2006/relationships/hyperlink" Target="mailto:a.boninti@inail.it" TargetMode="External"/><Relationship Id="rId383" Type="http://schemas.openxmlformats.org/officeDocument/2006/relationships/hyperlink" Target="mailto:m.foddai@inail.it" TargetMode="External"/><Relationship Id="rId418" Type="http://schemas.openxmlformats.org/officeDocument/2006/relationships/hyperlink" Target="mailto:l.saias@inail.it" TargetMode="External"/><Relationship Id="rId439" Type="http://schemas.openxmlformats.org/officeDocument/2006/relationships/hyperlink" Target="mailto:m.piovesan@inail.it" TargetMode="External"/><Relationship Id="rId201" Type="http://schemas.openxmlformats.org/officeDocument/2006/relationships/hyperlink" Target="mailto:n.altamura@inail.it" TargetMode="External"/><Relationship Id="rId222" Type="http://schemas.openxmlformats.org/officeDocument/2006/relationships/hyperlink" Target="mailto:m.ezzet@inail.it" TargetMode="External"/><Relationship Id="rId243" Type="http://schemas.openxmlformats.org/officeDocument/2006/relationships/hyperlink" Target="mailto:c.quattrone@inail.it" TargetMode="External"/><Relationship Id="rId264" Type="http://schemas.openxmlformats.org/officeDocument/2006/relationships/hyperlink" Target="mailto:g.peronepacifico@inail.it" TargetMode="External"/><Relationship Id="rId285" Type="http://schemas.openxmlformats.org/officeDocument/2006/relationships/hyperlink" Target="mailto:f.filograsso@inail.it" TargetMode="External"/><Relationship Id="rId450" Type="http://schemas.openxmlformats.org/officeDocument/2006/relationships/hyperlink" Target="mailto:r.piccin@inail.it" TargetMode="External"/><Relationship Id="rId471" Type="http://schemas.openxmlformats.org/officeDocument/2006/relationships/hyperlink" Target="mailto:m.armenise@inail.it" TargetMode="External"/><Relationship Id="rId506" Type="http://schemas.openxmlformats.org/officeDocument/2006/relationships/hyperlink" Target="mailto:d.tani@inail.it" TargetMode="External"/><Relationship Id="rId17" Type="http://schemas.openxmlformats.org/officeDocument/2006/relationships/hyperlink" Target="mailto:mp.gatto@inail.it" TargetMode="External"/><Relationship Id="rId38" Type="http://schemas.openxmlformats.org/officeDocument/2006/relationships/hyperlink" Target="mailto:r.iovene@inail.it" TargetMode="External"/><Relationship Id="rId59" Type="http://schemas.openxmlformats.org/officeDocument/2006/relationships/hyperlink" Target="mailto:p.nannini@inail.it" TargetMode="External"/><Relationship Id="rId103" Type="http://schemas.openxmlformats.org/officeDocument/2006/relationships/hyperlink" Target="mailto:e.mazzetti@inail.it" TargetMode="External"/><Relationship Id="rId124" Type="http://schemas.openxmlformats.org/officeDocument/2006/relationships/hyperlink" Target="mailto:d.scalia@inail.it" TargetMode="External"/><Relationship Id="rId310" Type="http://schemas.openxmlformats.org/officeDocument/2006/relationships/hyperlink" Target="mailto:p.tattoli@inail.it" TargetMode="External"/><Relationship Id="rId492" Type="http://schemas.openxmlformats.org/officeDocument/2006/relationships/hyperlink" Target="mailto:l.cecavicchi@inail.it" TargetMode="External"/><Relationship Id="rId527" Type="http://schemas.openxmlformats.org/officeDocument/2006/relationships/hyperlink" Target="mailto:a.santagata@inail.it" TargetMode="External"/><Relationship Id="rId548" Type="http://schemas.openxmlformats.org/officeDocument/2006/relationships/hyperlink" Target="mailto:ma.scarano@inail.it" TargetMode="External"/><Relationship Id="rId70" Type="http://schemas.openxmlformats.org/officeDocument/2006/relationships/hyperlink" Target="mailto:b.gori@inail.it" TargetMode="External"/><Relationship Id="rId91" Type="http://schemas.openxmlformats.org/officeDocument/2006/relationships/hyperlink" Target="mailto:s.valletta@inail.it" TargetMode="External"/><Relationship Id="rId145" Type="http://schemas.openxmlformats.org/officeDocument/2006/relationships/hyperlink" Target="mailto:g.barsocchi@inail.it" TargetMode="External"/><Relationship Id="rId166" Type="http://schemas.openxmlformats.org/officeDocument/2006/relationships/hyperlink" Target="mailto:f.boella@inail.it" TargetMode="External"/><Relationship Id="rId187" Type="http://schemas.openxmlformats.org/officeDocument/2006/relationships/hyperlink" Target="mailto:r.matteo@inail.it" TargetMode="External"/><Relationship Id="rId331" Type="http://schemas.openxmlformats.org/officeDocument/2006/relationships/hyperlink" Target="mailto:g.cellamare@inail.it" TargetMode="External"/><Relationship Id="rId352" Type="http://schemas.openxmlformats.org/officeDocument/2006/relationships/hyperlink" Target="mailto:m.demattia@inail.it" TargetMode="External"/><Relationship Id="rId373" Type="http://schemas.openxmlformats.org/officeDocument/2006/relationships/hyperlink" Target="mailto:d.tropiano@inail.it" TargetMode="External"/><Relationship Id="rId394" Type="http://schemas.openxmlformats.org/officeDocument/2006/relationships/hyperlink" Target="mailto:c.percolla@inail.it" TargetMode="External"/><Relationship Id="rId408" Type="http://schemas.openxmlformats.org/officeDocument/2006/relationships/hyperlink" Target="mailto:m.marziliano@inail.it" TargetMode="External"/><Relationship Id="rId429" Type="http://schemas.openxmlformats.org/officeDocument/2006/relationships/hyperlink" Target="mailto:m.oliveri@inail.it" TargetMode="External"/><Relationship Id="rId1" Type="http://schemas.openxmlformats.org/officeDocument/2006/relationships/hyperlink" Target="mailto:d.carbonari@inail.it" TargetMode="External"/><Relationship Id="rId212" Type="http://schemas.openxmlformats.org/officeDocument/2006/relationships/hyperlink" Target="mailto:f.badolato@inail.it" TargetMode="External"/><Relationship Id="rId233" Type="http://schemas.openxmlformats.org/officeDocument/2006/relationships/hyperlink" Target="mailto:r.pistelli@inail.it" TargetMode="External"/><Relationship Id="rId254" Type="http://schemas.openxmlformats.org/officeDocument/2006/relationships/hyperlink" Target="mailto:a.grimaldi@inail.it" TargetMode="External"/><Relationship Id="rId440" Type="http://schemas.openxmlformats.org/officeDocument/2006/relationships/hyperlink" Target="mailto:r.acerboni@inail.it" TargetMode="External"/><Relationship Id="rId28" Type="http://schemas.openxmlformats.org/officeDocument/2006/relationships/hyperlink" Target="mailto:a.lanciotti@inail.it" TargetMode="External"/><Relationship Id="rId49" Type="http://schemas.openxmlformats.org/officeDocument/2006/relationships/hyperlink" Target="mailto:p.maurino@inail.it" TargetMode="External"/><Relationship Id="rId114" Type="http://schemas.openxmlformats.org/officeDocument/2006/relationships/hyperlink" Target="mailto:l.cavicchi@inail.it" TargetMode="External"/><Relationship Id="rId275" Type="http://schemas.openxmlformats.org/officeDocument/2006/relationships/hyperlink" Target="mailto:a.morettini@inail.it" TargetMode="External"/><Relationship Id="rId296" Type="http://schemas.openxmlformats.org/officeDocument/2006/relationships/hyperlink" Target="mailto:g.loddo@inail.it" TargetMode="External"/><Relationship Id="rId300" Type="http://schemas.openxmlformats.org/officeDocument/2006/relationships/hyperlink" Target="mailto:o.spanu@inail.it" TargetMode="External"/><Relationship Id="rId461" Type="http://schemas.openxmlformats.org/officeDocument/2006/relationships/hyperlink" Target="mailto:a.turi@inail.it" TargetMode="External"/><Relationship Id="rId482" Type="http://schemas.openxmlformats.org/officeDocument/2006/relationships/hyperlink" Target="mailto:a.cosentini@inail.it" TargetMode="External"/><Relationship Id="rId517" Type="http://schemas.openxmlformats.org/officeDocument/2006/relationships/hyperlink" Target="mailto:f.olivo@inail.it" TargetMode="External"/><Relationship Id="rId538" Type="http://schemas.openxmlformats.org/officeDocument/2006/relationships/hyperlink" Target="mailto:m.dovetto@inail.it" TargetMode="External"/><Relationship Id="rId60" Type="http://schemas.openxmlformats.org/officeDocument/2006/relationships/hyperlink" Target="mailto:s.modestino@inail.it" TargetMode="External"/><Relationship Id="rId81" Type="http://schemas.openxmlformats.org/officeDocument/2006/relationships/hyperlink" Target="mailto:t.scalici@inail.it" TargetMode="External"/><Relationship Id="rId135" Type="http://schemas.openxmlformats.org/officeDocument/2006/relationships/hyperlink" Target="mailto:a.muratore@inail.it" TargetMode="External"/><Relationship Id="rId156" Type="http://schemas.openxmlformats.org/officeDocument/2006/relationships/hyperlink" Target="mailto:gi.vaccaro@inail.it" TargetMode="External"/><Relationship Id="rId177" Type="http://schemas.openxmlformats.org/officeDocument/2006/relationships/hyperlink" Target="mailto:p.infortuna@inail.it" TargetMode="External"/><Relationship Id="rId198" Type="http://schemas.openxmlformats.org/officeDocument/2006/relationships/hyperlink" Target="mailto:g.paglione@inail.it" TargetMode="External"/><Relationship Id="rId321" Type="http://schemas.openxmlformats.org/officeDocument/2006/relationships/hyperlink" Target="mailto:d.sanzi@inail.it" TargetMode="External"/><Relationship Id="rId342" Type="http://schemas.openxmlformats.org/officeDocument/2006/relationships/hyperlink" Target="mailto:n.palumbo@inail.it" TargetMode="External"/><Relationship Id="rId363" Type="http://schemas.openxmlformats.org/officeDocument/2006/relationships/hyperlink" Target="mailto:an.guerra@inail.it" TargetMode="External"/><Relationship Id="rId384" Type="http://schemas.openxmlformats.org/officeDocument/2006/relationships/hyperlink" Target="mailto:s.zurrida@inail.it" TargetMode="External"/><Relationship Id="rId419" Type="http://schemas.openxmlformats.org/officeDocument/2006/relationships/hyperlink" Target="mailto:ma.cherubini@inail.it" TargetMode="External"/><Relationship Id="rId202" Type="http://schemas.openxmlformats.org/officeDocument/2006/relationships/hyperlink" Target="mailto:ra.lionetti@inail.it" TargetMode="External"/><Relationship Id="rId223" Type="http://schemas.openxmlformats.org/officeDocument/2006/relationships/hyperlink" Target="mailto:m.costantini@inail.it" TargetMode="External"/><Relationship Id="rId244" Type="http://schemas.openxmlformats.org/officeDocument/2006/relationships/hyperlink" Target="mailto:d.grillo@inail.it" TargetMode="External"/><Relationship Id="rId430" Type="http://schemas.openxmlformats.org/officeDocument/2006/relationships/hyperlink" Target="mailto:m.bellissimo@inail.it" TargetMode="External"/><Relationship Id="rId18" Type="http://schemas.openxmlformats.org/officeDocument/2006/relationships/hyperlink" Target="mailto:o.didonato@inail.it" TargetMode="External"/><Relationship Id="rId39" Type="http://schemas.openxmlformats.org/officeDocument/2006/relationships/hyperlink" Target="mailto:a.carnaccini@inail.it" TargetMode="External"/><Relationship Id="rId265" Type="http://schemas.openxmlformats.org/officeDocument/2006/relationships/hyperlink" Target="mailto:g.buccheri@inail.it" TargetMode="External"/><Relationship Id="rId286" Type="http://schemas.openxmlformats.org/officeDocument/2006/relationships/hyperlink" Target="mailto:f.ioppolo@inail.it" TargetMode="External"/><Relationship Id="rId451" Type="http://schemas.openxmlformats.org/officeDocument/2006/relationships/hyperlink" Target="mailto:s.spinoso@inail.it" TargetMode="External"/><Relationship Id="rId472" Type="http://schemas.openxmlformats.org/officeDocument/2006/relationships/hyperlink" Target="mailto:n.altamura@inail.it" TargetMode="External"/><Relationship Id="rId493" Type="http://schemas.openxmlformats.org/officeDocument/2006/relationships/hyperlink" Target="mailto:m.ezzet@inail.it" TargetMode="External"/><Relationship Id="rId507" Type="http://schemas.openxmlformats.org/officeDocument/2006/relationships/hyperlink" Target="mailto:f.palombo@inail.it" TargetMode="External"/><Relationship Id="rId528" Type="http://schemas.openxmlformats.org/officeDocument/2006/relationships/hyperlink" Target="mailto:a.papa@inail.it" TargetMode="External"/><Relationship Id="rId549" Type="http://schemas.openxmlformats.org/officeDocument/2006/relationships/hyperlink" Target="mailto:p.infortuna@inail.it" TargetMode="External"/><Relationship Id="rId50" Type="http://schemas.openxmlformats.org/officeDocument/2006/relationships/hyperlink" Target="mailto:r.balistreri@inail.it" TargetMode="External"/><Relationship Id="rId104" Type="http://schemas.openxmlformats.org/officeDocument/2006/relationships/hyperlink" Target="mailto:e.beccati@inail.it" TargetMode="External"/><Relationship Id="rId125" Type="http://schemas.openxmlformats.org/officeDocument/2006/relationships/hyperlink" Target="mailto:d.barresi@inail.it" TargetMode="External"/><Relationship Id="rId146" Type="http://schemas.openxmlformats.org/officeDocument/2006/relationships/hyperlink" Target="mailto:j.bianchi@inail.it" TargetMode="External"/><Relationship Id="rId167" Type="http://schemas.openxmlformats.org/officeDocument/2006/relationships/hyperlink" Target="mailto:g.colace@inail.it" TargetMode="External"/><Relationship Id="rId188" Type="http://schemas.openxmlformats.org/officeDocument/2006/relationships/hyperlink" Target="mailto:v.goglia@inail.it" TargetMode="External"/><Relationship Id="rId311" Type="http://schemas.openxmlformats.org/officeDocument/2006/relationships/hyperlink" Target="mailto:p.nannini@inail.it" TargetMode="External"/><Relationship Id="rId332" Type="http://schemas.openxmlformats.org/officeDocument/2006/relationships/hyperlink" Target="mailto:t.grassi@inail.it" TargetMode="External"/><Relationship Id="rId353" Type="http://schemas.openxmlformats.org/officeDocument/2006/relationships/hyperlink" Target="mailto:p.lipari@inail.it" TargetMode="External"/><Relationship Id="rId374" Type="http://schemas.openxmlformats.org/officeDocument/2006/relationships/hyperlink" Target="mailto:fa.zichichi@inail.it" TargetMode="External"/><Relationship Id="rId395" Type="http://schemas.openxmlformats.org/officeDocument/2006/relationships/hyperlink" Target="mailto:d.scalia@inail.it" TargetMode="External"/><Relationship Id="rId409" Type="http://schemas.openxmlformats.org/officeDocument/2006/relationships/hyperlink" Target="mailto:n.giannoccaro@inail.it" TargetMode="External"/><Relationship Id="rId71" Type="http://schemas.openxmlformats.org/officeDocument/2006/relationships/hyperlink" Target="mailto:d.manca@inail.it" TargetMode="External"/><Relationship Id="rId92" Type="http://schemas.openxmlformats.org/officeDocument/2006/relationships/hyperlink" Target="mailto:a.cagnoni@inail.it" TargetMode="External"/><Relationship Id="rId213" Type="http://schemas.openxmlformats.org/officeDocument/2006/relationships/hyperlink" Target="mailto:m.quattromani@inail.it" TargetMode="External"/><Relationship Id="rId234" Type="http://schemas.openxmlformats.org/officeDocument/2006/relationships/hyperlink" Target="mailto:c.vari@inail.it" TargetMode="External"/><Relationship Id="rId420" Type="http://schemas.openxmlformats.org/officeDocument/2006/relationships/hyperlink" Target="mailto:n.bravi@inail.it" TargetMode="External"/><Relationship Id="rId2" Type="http://schemas.openxmlformats.org/officeDocument/2006/relationships/hyperlink" Target="mailto:d.cionchi@inail.it" TargetMode="External"/><Relationship Id="rId29" Type="http://schemas.openxmlformats.org/officeDocument/2006/relationships/hyperlink" Target="mailto:a.dalessandro@inail.it" TargetMode="External"/><Relationship Id="rId255" Type="http://schemas.openxmlformats.org/officeDocument/2006/relationships/hyperlink" Target="mailto:an.cozzolino@inail.it" TargetMode="External"/><Relationship Id="rId276" Type="http://schemas.openxmlformats.org/officeDocument/2006/relationships/hyperlink" Target="mailto:f.taurasi@inail.it" TargetMode="External"/><Relationship Id="rId297" Type="http://schemas.openxmlformats.org/officeDocument/2006/relationships/hyperlink" Target="mailto:g.cappai@inail.it" TargetMode="External"/><Relationship Id="rId441" Type="http://schemas.openxmlformats.org/officeDocument/2006/relationships/hyperlink" Target="mailto:s.penzo@inail.it" TargetMode="External"/><Relationship Id="rId462" Type="http://schemas.openxmlformats.org/officeDocument/2006/relationships/hyperlink" Target="mailto:a.desandre@inail.it" TargetMode="External"/><Relationship Id="rId483" Type="http://schemas.openxmlformats.org/officeDocument/2006/relationships/hyperlink" Target="mailto:f.badolato@inail.it" TargetMode="External"/><Relationship Id="rId518" Type="http://schemas.openxmlformats.org/officeDocument/2006/relationships/hyperlink" Target="mailto:g.tortorici@inail.it" TargetMode="External"/><Relationship Id="rId539" Type="http://schemas.openxmlformats.org/officeDocument/2006/relationships/hyperlink" Target="mailto:m.faiella@inail.it" TargetMode="External"/><Relationship Id="rId40" Type="http://schemas.openxmlformats.org/officeDocument/2006/relationships/hyperlink" Target="mailto:rg.russo@inail.it" TargetMode="External"/><Relationship Id="rId115" Type="http://schemas.openxmlformats.org/officeDocument/2006/relationships/hyperlink" Target="mailto:p.pantalone@inail.it" TargetMode="External"/><Relationship Id="rId136" Type="http://schemas.openxmlformats.org/officeDocument/2006/relationships/hyperlink" Target="mailto:g.giannelli@inail.it" TargetMode="External"/><Relationship Id="rId157" Type="http://schemas.openxmlformats.org/officeDocument/2006/relationships/hyperlink" Target="mailto:gi.argento@inail.it" TargetMode="External"/><Relationship Id="rId178" Type="http://schemas.openxmlformats.org/officeDocument/2006/relationships/hyperlink" Target="mailto:r.senatore@inail.it" TargetMode="External"/><Relationship Id="rId301" Type="http://schemas.openxmlformats.org/officeDocument/2006/relationships/hyperlink" Target="mailto:p.maurino@inail.it" TargetMode="External"/><Relationship Id="rId322" Type="http://schemas.openxmlformats.org/officeDocument/2006/relationships/hyperlink" Target="mailto:f.panin@inail.it" TargetMode="External"/><Relationship Id="rId343" Type="http://schemas.openxmlformats.org/officeDocument/2006/relationships/hyperlink" Target="mailto:na.rizzo@inail.it" TargetMode="External"/><Relationship Id="rId364" Type="http://schemas.openxmlformats.org/officeDocument/2006/relationships/hyperlink" Target="mailto:a.margutti@inail.it" TargetMode="External"/><Relationship Id="rId550" Type="http://schemas.openxmlformats.org/officeDocument/2006/relationships/printerSettings" Target="../printerSettings/printerSettings1.bin"/><Relationship Id="rId61" Type="http://schemas.openxmlformats.org/officeDocument/2006/relationships/hyperlink" Target="mailto:s.benedetti@inail.it" TargetMode="External"/><Relationship Id="rId82" Type="http://schemas.openxmlformats.org/officeDocument/2006/relationships/hyperlink" Target="mailto:a.colautto@inail.it" TargetMode="External"/><Relationship Id="rId199" Type="http://schemas.openxmlformats.org/officeDocument/2006/relationships/hyperlink" Target="mailto:m.demusso@inail.it" TargetMode="External"/><Relationship Id="rId203" Type="http://schemas.openxmlformats.org/officeDocument/2006/relationships/hyperlink" Target="mailto:f.dirocco@inail.it" TargetMode="External"/><Relationship Id="rId385" Type="http://schemas.openxmlformats.org/officeDocument/2006/relationships/hyperlink" Target="mailto:c.piccolo@inail.it" TargetMode="External"/><Relationship Id="rId19" Type="http://schemas.openxmlformats.org/officeDocument/2006/relationships/hyperlink" Target="mailto:r.modestino@inail.it" TargetMode="External"/><Relationship Id="rId224" Type="http://schemas.openxmlformats.org/officeDocument/2006/relationships/hyperlink" Target="mailto:m.iacomini@inail.it" TargetMode="External"/><Relationship Id="rId245" Type="http://schemas.openxmlformats.org/officeDocument/2006/relationships/hyperlink" Target="mailto:f.giacobbe@inail.it" TargetMode="External"/><Relationship Id="rId266" Type="http://schemas.openxmlformats.org/officeDocument/2006/relationships/hyperlink" Target="mailto:giu.dantonio@inail.it" TargetMode="External"/><Relationship Id="rId287" Type="http://schemas.openxmlformats.org/officeDocument/2006/relationships/hyperlink" Target="mailto:g.diiorio@inail.it" TargetMode="External"/><Relationship Id="rId410" Type="http://schemas.openxmlformats.org/officeDocument/2006/relationships/hyperlink" Target="mailto:g.grillone@inail.it" TargetMode="External"/><Relationship Id="rId431" Type="http://schemas.openxmlformats.org/officeDocument/2006/relationships/hyperlink" Target="mailto:p.amodeo@inail.it" TargetMode="External"/><Relationship Id="rId452" Type="http://schemas.openxmlformats.org/officeDocument/2006/relationships/hyperlink" Target="mailto:b.defina@inail.it" TargetMode="External"/><Relationship Id="rId473" Type="http://schemas.openxmlformats.org/officeDocument/2006/relationships/hyperlink" Target="mailto:ra.lionetti@inail.it" TargetMode="External"/><Relationship Id="rId494" Type="http://schemas.openxmlformats.org/officeDocument/2006/relationships/hyperlink" Target="mailto:m.costantini@inail.it" TargetMode="External"/><Relationship Id="rId508" Type="http://schemas.openxmlformats.org/officeDocument/2006/relationships/hyperlink" Target="mailto:g.bagordo@inail.it" TargetMode="External"/><Relationship Id="rId529" Type="http://schemas.openxmlformats.org/officeDocument/2006/relationships/hyperlink" Target="mailto:c.tanzillo@inail.it" TargetMode="External"/><Relationship Id="rId30" Type="http://schemas.openxmlformats.org/officeDocument/2006/relationships/hyperlink" Target="mailto:b.volpe@inail.it" TargetMode="External"/><Relationship Id="rId105" Type="http://schemas.openxmlformats.org/officeDocument/2006/relationships/hyperlink" Target="mailto:l.minerva@inail.it" TargetMode="External"/><Relationship Id="rId126" Type="http://schemas.openxmlformats.org/officeDocument/2006/relationships/hyperlink" Target="mailto:d.tuttolomondo@inail.it" TargetMode="External"/><Relationship Id="rId147" Type="http://schemas.openxmlformats.org/officeDocument/2006/relationships/hyperlink" Target="mailto:l.saias@inail.it" TargetMode="External"/><Relationship Id="rId168" Type="http://schemas.openxmlformats.org/officeDocument/2006/relationships/hyperlink" Target="mailto:m.piovesan@inail.it" TargetMode="External"/><Relationship Id="rId312" Type="http://schemas.openxmlformats.org/officeDocument/2006/relationships/hyperlink" Target="mailto:s.modestino@inail.it" TargetMode="External"/><Relationship Id="rId333" Type="http://schemas.openxmlformats.org/officeDocument/2006/relationships/hyperlink" Target="mailto:v.galasso@inail.it" TargetMode="External"/><Relationship Id="rId354" Type="http://schemas.openxmlformats.org/officeDocument/2006/relationships/hyperlink" Target="mailto:s.valletta@inail.it" TargetMode="External"/><Relationship Id="rId540" Type="http://schemas.openxmlformats.org/officeDocument/2006/relationships/hyperlink" Target="mailto:n.pedicini@inail.it" TargetMode="External"/><Relationship Id="rId51" Type="http://schemas.openxmlformats.org/officeDocument/2006/relationships/hyperlink" Target="mailto:r.giua@inail.it" TargetMode="External"/><Relationship Id="rId72" Type="http://schemas.openxmlformats.org/officeDocument/2006/relationships/hyperlink" Target="mailto:e.diponzio@inail.it" TargetMode="External"/><Relationship Id="rId93" Type="http://schemas.openxmlformats.org/officeDocument/2006/relationships/hyperlink" Target="mailto:a.andolina@inail.it" TargetMode="External"/><Relationship Id="rId189" Type="http://schemas.openxmlformats.org/officeDocument/2006/relationships/hyperlink" Target="mailto:a.colaprico@inail.it" TargetMode="External"/><Relationship Id="rId375" Type="http://schemas.openxmlformats.org/officeDocument/2006/relationships/hyperlink" Target="mailto:f.scala@inail.it" TargetMode="External"/><Relationship Id="rId396" Type="http://schemas.openxmlformats.org/officeDocument/2006/relationships/hyperlink" Target="mailto:d.barresi@inail.it" TargetMode="External"/><Relationship Id="rId3" Type="http://schemas.openxmlformats.org/officeDocument/2006/relationships/hyperlink" Target="mailto:f.piracci@inail.it" TargetMode="External"/><Relationship Id="rId214" Type="http://schemas.openxmlformats.org/officeDocument/2006/relationships/hyperlink" Target="mailto:r.fabiano@inail.it" TargetMode="External"/><Relationship Id="rId235" Type="http://schemas.openxmlformats.org/officeDocument/2006/relationships/hyperlink" Target="mailto:d.tani@inail.it" TargetMode="External"/><Relationship Id="rId256" Type="http://schemas.openxmlformats.org/officeDocument/2006/relationships/hyperlink" Target="mailto:a.santagata@inail.it" TargetMode="External"/><Relationship Id="rId277" Type="http://schemas.openxmlformats.org/officeDocument/2006/relationships/hyperlink" Target="mailto:ma.scarano@inail.it" TargetMode="External"/><Relationship Id="rId298" Type="http://schemas.openxmlformats.org/officeDocument/2006/relationships/hyperlink" Target="mailto:l.carta@inail.it" TargetMode="External"/><Relationship Id="rId400" Type="http://schemas.openxmlformats.org/officeDocument/2006/relationships/hyperlink" Target="mailto:n.lepiscopo@inail.it" TargetMode="External"/><Relationship Id="rId421" Type="http://schemas.openxmlformats.org/officeDocument/2006/relationships/hyperlink" Target="mailto:a.tammuzza@inail.it" TargetMode="External"/><Relationship Id="rId442" Type="http://schemas.openxmlformats.org/officeDocument/2006/relationships/hyperlink" Target="mailto:c.giurintano@inail.it" TargetMode="External"/><Relationship Id="rId463" Type="http://schemas.openxmlformats.org/officeDocument/2006/relationships/hyperlink" Target="mailto:d.sallustio@inail.it" TargetMode="External"/><Relationship Id="rId484" Type="http://schemas.openxmlformats.org/officeDocument/2006/relationships/hyperlink" Target="mailto:m.quattromani@inail.it" TargetMode="External"/><Relationship Id="rId519" Type="http://schemas.openxmlformats.org/officeDocument/2006/relationships/hyperlink" Target="mailto:m.falzea@inail.it" TargetMode="External"/><Relationship Id="rId116" Type="http://schemas.openxmlformats.org/officeDocument/2006/relationships/hyperlink" Target="mailto:r.denicola@inail.it" TargetMode="External"/><Relationship Id="rId137" Type="http://schemas.openxmlformats.org/officeDocument/2006/relationships/hyperlink" Target="mailto:m.marziliano@inail.it" TargetMode="External"/><Relationship Id="rId158" Type="http://schemas.openxmlformats.org/officeDocument/2006/relationships/hyperlink" Target="mailto:m.oliveri@inail.it" TargetMode="External"/><Relationship Id="rId302" Type="http://schemas.openxmlformats.org/officeDocument/2006/relationships/hyperlink" Target="mailto:r.balistreri@inail.it" TargetMode="External"/><Relationship Id="rId323" Type="http://schemas.openxmlformats.org/officeDocument/2006/relationships/hyperlink" Target="mailto:s.ballotta@inail.it" TargetMode="External"/><Relationship Id="rId344" Type="http://schemas.openxmlformats.org/officeDocument/2006/relationships/hyperlink" Target="mailto:t.scalici@inail.it" TargetMode="External"/><Relationship Id="rId530" Type="http://schemas.openxmlformats.org/officeDocument/2006/relationships/hyperlink" Target="mailto:d.sorrentino@inail.it" TargetMode="External"/><Relationship Id="rId20" Type="http://schemas.openxmlformats.org/officeDocument/2006/relationships/hyperlink" Target="mailto:p.infortuna@inail.it" TargetMode="External"/><Relationship Id="rId41" Type="http://schemas.openxmlformats.org/officeDocument/2006/relationships/hyperlink" Target="mailto:a.carro@inail.it" TargetMode="External"/><Relationship Id="rId62" Type="http://schemas.openxmlformats.org/officeDocument/2006/relationships/hyperlink" Target="mailto:a.salmaso@inail.it" TargetMode="External"/><Relationship Id="rId83" Type="http://schemas.openxmlformats.org/officeDocument/2006/relationships/hyperlink" Target="mailto:c.nastasi@inail.it" TargetMode="External"/><Relationship Id="rId179" Type="http://schemas.openxmlformats.org/officeDocument/2006/relationships/hyperlink" Target="mailto:r.piccin@inail.it" TargetMode="External"/><Relationship Id="rId365" Type="http://schemas.openxmlformats.org/officeDocument/2006/relationships/hyperlink" Target="mailto:c.sclano@inail.it" TargetMode="External"/><Relationship Id="rId386" Type="http://schemas.openxmlformats.org/officeDocument/2006/relationships/hyperlink" Target="mailto:c.detoro@inail.it" TargetMode="External"/><Relationship Id="rId190" Type="http://schemas.openxmlformats.org/officeDocument/2006/relationships/hyperlink" Target="mailto:a.turi@inail.it" TargetMode="External"/><Relationship Id="rId204" Type="http://schemas.openxmlformats.org/officeDocument/2006/relationships/hyperlink" Target="mailto:f.grubissich@inail.it" TargetMode="External"/><Relationship Id="rId225" Type="http://schemas.openxmlformats.org/officeDocument/2006/relationships/hyperlink" Target="mailto:s.baldassarini@inail.it" TargetMode="External"/><Relationship Id="rId246" Type="http://schemas.openxmlformats.org/officeDocument/2006/relationships/hyperlink" Target="mailto:f.olivo@inail.it" TargetMode="External"/><Relationship Id="rId267" Type="http://schemas.openxmlformats.org/officeDocument/2006/relationships/hyperlink" Target="mailto:m.dovetto@inail.it" TargetMode="External"/><Relationship Id="rId288" Type="http://schemas.openxmlformats.org/officeDocument/2006/relationships/hyperlink" Target="mailto:r.tucceri@inail.it" TargetMode="External"/><Relationship Id="rId411" Type="http://schemas.openxmlformats.org/officeDocument/2006/relationships/hyperlink" Target="mailto:l.fascioli@inail.it" TargetMode="External"/><Relationship Id="rId432" Type="http://schemas.openxmlformats.org/officeDocument/2006/relationships/hyperlink" Target="mailto:r.sunseri@inail.it" TargetMode="External"/><Relationship Id="rId453" Type="http://schemas.openxmlformats.org/officeDocument/2006/relationships/hyperlink" Target="mailto:f.galella@inail.it" TargetMode="External"/><Relationship Id="rId474" Type="http://schemas.openxmlformats.org/officeDocument/2006/relationships/hyperlink" Target="mailto:f.dirocco@inail.it" TargetMode="External"/><Relationship Id="rId509" Type="http://schemas.openxmlformats.org/officeDocument/2006/relationships/hyperlink" Target="mailto:m.vanneschi@inail.it" TargetMode="External"/><Relationship Id="rId106" Type="http://schemas.openxmlformats.org/officeDocument/2006/relationships/hyperlink" Target="mailto:l.bruzzo@inail.it" TargetMode="External"/><Relationship Id="rId127" Type="http://schemas.openxmlformats.org/officeDocument/2006/relationships/hyperlink" Target="mailto:m.arfo@inail.it" TargetMode="External"/><Relationship Id="rId313" Type="http://schemas.openxmlformats.org/officeDocument/2006/relationships/hyperlink" Target="mailto:s.benedetti@inail.it" TargetMode="External"/><Relationship Id="rId495" Type="http://schemas.openxmlformats.org/officeDocument/2006/relationships/hyperlink" Target="mailto:m.iacomini@inail.it" TargetMode="External"/><Relationship Id="rId10" Type="http://schemas.openxmlformats.org/officeDocument/2006/relationships/hyperlink" Target="mailto:s.dente@inail.it" TargetMode="External"/><Relationship Id="rId31" Type="http://schemas.openxmlformats.org/officeDocument/2006/relationships/hyperlink" Target="mailto:c.bizzi@inail.it" TargetMode="External"/><Relationship Id="rId52" Type="http://schemas.openxmlformats.org/officeDocument/2006/relationships/hyperlink" Target="mailto:a.scanu@inail.it" TargetMode="External"/><Relationship Id="rId73" Type="http://schemas.openxmlformats.org/officeDocument/2006/relationships/hyperlink" Target="mailto:f.perri@inail.it" TargetMode="External"/><Relationship Id="rId94" Type="http://schemas.openxmlformats.org/officeDocument/2006/relationships/hyperlink" Target="mailto:g.gurnari@inail.it" TargetMode="External"/><Relationship Id="rId148" Type="http://schemas.openxmlformats.org/officeDocument/2006/relationships/hyperlink" Target="mailto:ma.cherubini@inail.it" TargetMode="External"/><Relationship Id="rId169" Type="http://schemas.openxmlformats.org/officeDocument/2006/relationships/hyperlink" Target="mailto:r.acerboni@inail.it" TargetMode="External"/><Relationship Id="rId334" Type="http://schemas.openxmlformats.org/officeDocument/2006/relationships/hyperlink" Target="mailto:a.urso@inail.it" TargetMode="External"/><Relationship Id="rId355" Type="http://schemas.openxmlformats.org/officeDocument/2006/relationships/hyperlink" Target="mailto:a.cagnoni@inail.it" TargetMode="External"/><Relationship Id="rId376" Type="http://schemas.openxmlformats.org/officeDocument/2006/relationships/hyperlink" Target="mailto:g.zuccarello@inail.it" TargetMode="External"/><Relationship Id="rId397" Type="http://schemas.openxmlformats.org/officeDocument/2006/relationships/hyperlink" Target="mailto:d.tuttolomondo@inail.it" TargetMode="External"/><Relationship Id="rId520" Type="http://schemas.openxmlformats.org/officeDocument/2006/relationships/hyperlink" Target="mailto:man.russo@inail.it" TargetMode="External"/><Relationship Id="rId541" Type="http://schemas.openxmlformats.org/officeDocument/2006/relationships/hyperlink" Target="mailto:n.romagnuolo@inail.it" TargetMode="External"/><Relationship Id="rId4" Type="http://schemas.openxmlformats.org/officeDocument/2006/relationships/hyperlink" Target="mailto:f.digrazia@inail.it" TargetMode="External"/><Relationship Id="rId180" Type="http://schemas.openxmlformats.org/officeDocument/2006/relationships/hyperlink" Target="mailto:s.spinoso@inail.it" TargetMode="External"/><Relationship Id="rId215" Type="http://schemas.openxmlformats.org/officeDocument/2006/relationships/hyperlink" Target="mailto:ro.longo@inail.it" TargetMode="External"/><Relationship Id="rId236" Type="http://schemas.openxmlformats.org/officeDocument/2006/relationships/hyperlink" Target="mailto:f.palombo@inail.it" TargetMode="External"/><Relationship Id="rId257" Type="http://schemas.openxmlformats.org/officeDocument/2006/relationships/hyperlink" Target="mailto:a.papa@inail.it" TargetMode="External"/><Relationship Id="rId278" Type="http://schemas.openxmlformats.org/officeDocument/2006/relationships/hyperlink" Target="mailto:g.paiardini@inail.it" TargetMode="External"/><Relationship Id="rId401" Type="http://schemas.openxmlformats.org/officeDocument/2006/relationships/hyperlink" Target="mailto:r.randazzo@inail.it" TargetMode="External"/><Relationship Id="rId422" Type="http://schemas.openxmlformats.org/officeDocument/2006/relationships/hyperlink" Target="mailto:d.difonzo@inail.it" TargetMode="External"/><Relationship Id="rId443" Type="http://schemas.openxmlformats.org/officeDocument/2006/relationships/hyperlink" Target="mailto:p.lunardelli@inail.it" TargetMode="External"/><Relationship Id="rId464" Type="http://schemas.openxmlformats.org/officeDocument/2006/relationships/hyperlink" Target="mailto:f.lobasso@inail.it" TargetMode="External"/><Relationship Id="rId303" Type="http://schemas.openxmlformats.org/officeDocument/2006/relationships/hyperlink" Target="mailto:r.giua@inail.it" TargetMode="External"/><Relationship Id="rId485" Type="http://schemas.openxmlformats.org/officeDocument/2006/relationships/hyperlink" Target="mailto:r.fabiano@inail.it" TargetMode="External"/><Relationship Id="rId42" Type="http://schemas.openxmlformats.org/officeDocument/2006/relationships/hyperlink" Target="mailto:c.lostiadisantasofia@inail.it" TargetMode="External"/><Relationship Id="rId84" Type="http://schemas.openxmlformats.org/officeDocument/2006/relationships/hyperlink" Target="mailto:e.zaccagnini@inail.it" TargetMode="External"/><Relationship Id="rId138" Type="http://schemas.openxmlformats.org/officeDocument/2006/relationships/hyperlink" Target="mailto:n.giannoccaro@inail.it" TargetMode="External"/><Relationship Id="rId345" Type="http://schemas.openxmlformats.org/officeDocument/2006/relationships/hyperlink" Target="mailto:a.colautto@inail.it" TargetMode="External"/><Relationship Id="rId387" Type="http://schemas.openxmlformats.org/officeDocument/2006/relationships/hyperlink" Target="mailto:e.spagnuolo@inail.it" TargetMode="External"/><Relationship Id="rId510" Type="http://schemas.openxmlformats.org/officeDocument/2006/relationships/hyperlink" Target="mailto:p.lenzuni@inail.it" TargetMode="External"/><Relationship Id="rId191" Type="http://schemas.openxmlformats.org/officeDocument/2006/relationships/hyperlink" Target="mailto:a.desandre@inail.it" TargetMode="External"/><Relationship Id="rId205" Type="http://schemas.openxmlformats.org/officeDocument/2006/relationships/hyperlink" Target="mailto:c.digirolamo@inail.it" TargetMode="External"/><Relationship Id="rId247" Type="http://schemas.openxmlformats.org/officeDocument/2006/relationships/hyperlink" Target="mailto:g.tortorici@inail.it" TargetMode="External"/><Relationship Id="rId412" Type="http://schemas.openxmlformats.org/officeDocument/2006/relationships/hyperlink" Target="mailto:r.ciancio@inail.it" TargetMode="External"/><Relationship Id="rId107" Type="http://schemas.openxmlformats.org/officeDocument/2006/relationships/hyperlink" Target="mailto:p.marchi@inail.it" TargetMode="External"/><Relationship Id="rId289" Type="http://schemas.openxmlformats.org/officeDocument/2006/relationships/hyperlink" Target="mailto:v.dalessandro@inail.it" TargetMode="External"/><Relationship Id="rId454" Type="http://schemas.openxmlformats.org/officeDocument/2006/relationships/hyperlink" Target="mailto:g.smaldore@inail.it" TargetMode="External"/><Relationship Id="rId496" Type="http://schemas.openxmlformats.org/officeDocument/2006/relationships/hyperlink" Target="mailto:s.baldassarini@inail.it" TargetMode="External"/><Relationship Id="rId11" Type="http://schemas.openxmlformats.org/officeDocument/2006/relationships/hyperlink" Target="mailto:v.prete@inail.it" TargetMode="External"/><Relationship Id="rId53" Type="http://schemas.openxmlformats.org/officeDocument/2006/relationships/hyperlink" Target="mailto:an.ianno@inail.it" TargetMode="External"/><Relationship Id="rId149" Type="http://schemas.openxmlformats.org/officeDocument/2006/relationships/hyperlink" Target="mailto:n.bravi@inail.it" TargetMode="External"/><Relationship Id="rId314" Type="http://schemas.openxmlformats.org/officeDocument/2006/relationships/hyperlink" Target="mailto:d.carbonari@inail.it" TargetMode="External"/><Relationship Id="rId356" Type="http://schemas.openxmlformats.org/officeDocument/2006/relationships/hyperlink" Target="mailto:a.andolina@inail.it" TargetMode="External"/><Relationship Id="rId398" Type="http://schemas.openxmlformats.org/officeDocument/2006/relationships/hyperlink" Target="mailto:m.arfo@inail.it" TargetMode="External"/><Relationship Id="rId521" Type="http://schemas.openxmlformats.org/officeDocument/2006/relationships/hyperlink" Target="mailto:m.giuffrida@inail.it" TargetMode="External"/><Relationship Id="rId95" Type="http://schemas.openxmlformats.org/officeDocument/2006/relationships/hyperlink" Target="mailto:l.lorusso@inail.it" TargetMode="External"/><Relationship Id="rId160" Type="http://schemas.openxmlformats.org/officeDocument/2006/relationships/hyperlink" Target="mailto:p.amodeo@inail.it" TargetMode="External"/><Relationship Id="rId216" Type="http://schemas.openxmlformats.org/officeDocument/2006/relationships/hyperlink" Target="mailto:a.lunghi@inail.it" TargetMode="External"/><Relationship Id="rId423" Type="http://schemas.openxmlformats.org/officeDocument/2006/relationships/hyperlink" Target="mailto:f.amaro@inail.it" TargetMode="External"/><Relationship Id="rId258" Type="http://schemas.openxmlformats.org/officeDocument/2006/relationships/hyperlink" Target="mailto:c.tanzillo@inail.it" TargetMode="External"/><Relationship Id="rId465" Type="http://schemas.openxmlformats.org/officeDocument/2006/relationships/hyperlink" Target="mailto:f.sciancalepore@inail.it" TargetMode="External"/><Relationship Id="rId22" Type="http://schemas.openxmlformats.org/officeDocument/2006/relationships/hyperlink" Target="mailto:e.urciuoli@inail.it" TargetMode="External"/><Relationship Id="rId64" Type="http://schemas.openxmlformats.org/officeDocument/2006/relationships/hyperlink" Target="mailto:d.sanzi@inail.it" TargetMode="External"/><Relationship Id="rId118" Type="http://schemas.openxmlformats.org/officeDocument/2006/relationships/hyperlink" Target="mailto:a.bebbere@inail.it" TargetMode="External"/><Relationship Id="rId325" Type="http://schemas.openxmlformats.org/officeDocument/2006/relationships/hyperlink" Target="mailto:an.pellegrini@inail.it" TargetMode="External"/><Relationship Id="rId367" Type="http://schemas.openxmlformats.org/officeDocument/2006/relationships/hyperlink" Target="mailto:e.beccati@inail.it" TargetMode="External"/><Relationship Id="rId532" Type="http://schemas.openxmlformats.org/officeDocument/2006/relationships/hyperlink" Target="mailto:e.decandia@inail.it" TargetMode="External"/><Relationship Id="rId171" Type="http://schemas.openxmlformats.org/officeDocument/2006/relationships/hyperlink" Target="mailto:c.giurintano@inail.it" TargetMode="External"/><Relationship Id="rId227" Type="http://schemas.openxmlformats.org/officeDocument/2006/relationships/hyperlink" Target="mailto:d.rinaldi@inail.it" TargetMode="External"/><Relationship Id="rId269" Type="http://schemas.openxmlformats.org/officeDocument/2006/relationships/hyperlink" Target="mailto:n.pedicini@inail.it" TargetMode="External"/><Relationship Id="rId434" Type="http://schemas.openxmlformats.org/officeDocument/2006/relationships/hyperlink" Target="mailto:v.nastasi@inail.it" TargetMode="External"/><Relationship Id="rId476" Type="http://schemas.openxmlformats.org/officeDocument/2006/relationships/hyperlink" Target="mailto:c.digirolamo@inail.it" TargetMode="External"/><Relationship Id="rId33" Type="http://schemas.openxmlformats.org/officeDocument/2006/relationships/hyperlink" Target="mailto:f.filograsso@inail.it" TargetMode="External"/><Relationship Id="rId129" Type="http://schemas.openxmlformats.org/officeDocument/2006/relationships/hyperlink" Target="mailto:n.lepiscopo@inail.it" TargetMode="External"/><Relationship Id="rId280" Type="http://schemas.openxmlformats.org/officeDocument/2006/relationships/hyperlink" Target="mailto:a.lanciotti@inail.it" TargetMode="External"/><Relationship Id="rId336" Type="http://schemas.openxmlformats.org/officeDocument/2006/relationships/hyperlink" Target="mailto:l.masero@inail.it" TargetMode="External"/><Relationship Id="rId501" Type="http://schemas.openxmlformats.org/officeDocument/2006/relationships/hyperlink" Target="mailto:a.casillo@inail.it" TargetMode="External"/><Relationship Id="rId543" Type="http://schemas.openxmlformats.org/officeDocument/2006/relationships/hyperlink" Target="mailto:t.pagliuso@inail.it" TargetMode="External"/><Relationship Id="rId75" Type="http://schemas.openxmlformats.org/officeDocument/2006/relationships/hyperlink" Target="mailto:t.grassi@inail.it" TargetMode="External"/><Relationship Id="rId140" Type="http://schemas.openxmlformats.org/officeDocument/2006/relationships/hyperlink" Target="mailto:l.fascioli@inail.it" TargetMode="External"/><Relationship Id="rId182" Type="http://schemas.openxmlformats.org/officeDocument/2006/relationships/hyperlink" Target="mailto:f.galella@inail.it" TargetMode="External"/><Relationship Id="rId378" Type="http://schemas.openxmlformats.org/officeDocument/2006/relationships/hyperlink" Target="mailto:p.pantalone@inail.it" TargetMode="External"/><Relationship Id="rId403" Type="http://schemas.openxmlformats.org/officeDocument/2006/relationships/hyperlink" Target="mailto:s.figura@inail.it" TargetMode="External"/><Relationship Id="rId6" Type="http://schemas.openxmlformats.org/officeDocument/2006/relationships/hyperlink" Target="mailto:a.urso@inail.it" TargetMode="External"/><Relationship Id="rId238" Type="http://schemas.openxmlformats.org/officeDocument/2006/relationships/hyperlink" Target="mailto:m.vanneschi@inail.it" TargetMode="External"/><Relationship Id="rId445" Type="http://schemas.openxmlformats.org/officeDocument/2006/relationships/hyperlink" Target="mailto:a.micciola@inail.it" TargetMode="External"/><Relationship Id="rId487" Type="http://schemas.openxmlformats.org/officeDocument/2006/relationships/hyperlink" Target="mailto:a.lunghi@inail.it" TargetMode="External"/><Relationship Id="rId291" Type="http://schemas.openxmlformats.org/officeDocument/2006/relationships/hyperlink" Target="mailto:a.carnaccini@inail.it" TargetMode="External"/><Relationship Id="rId305" Type="http://schemas.openxmlformats.org/officeDocument/2006/relationships/hyperlink" Target="mailto:an.ianno@inail.it" TargetMode="External"/><Relationship Id="rId347" Type="http://schemas.openxmlformats.org/officeDocument/2006/relationships/hyperlink" Target="mailto:e.zaccagnini@inail.it" TargetMode="External"/><Relationship Id="rId512" Type="http://schemas.openxmlformats.org/officeDocument/2006/relationships/hyperlink" Target="mailto:a.polimeni@inail.it" TargetMode="External"/><Relationship Id="rId44" Type="http://schemas.openxmlformats.org/officeDocument/2006/relationships/hyperlink" Target="mailto:g.loddo@inail.it" TargetMode="External"/><Relationship Id="rId86" Type="http://schemas.openxmlformats.org/officeDocument/2006/relationships/hyperlink" Target="mailto:i.mazzarelli@inail.it" TargetMode="External"/><Relationship Id="rId151" Type="http://schemas.openxmlformats.org/officeDocument/2006/relationships/hyperlink" Target="mailto:d.difonzo@inail.it" TargetMode="External"/><Relationship Id="rId389" Type="http://schemas.openxmlformats.org/officeDocument/2006/relationships/hyperlink" Target="mailto:g.battista@inail.it" TargetMode="External"/><Relationship Id="rId193" Type="http://schemas.openxmlformats.org/officeDocument/2006/relationships/hyperlink" Target="mailto:f.lobasso@inail.it" TargetMode="External"/><Relationship Id="rId207" Type="http://schemas.openxmlformats.org/officeDocument/2006/relationships/hyperlink" Target="mailto:l.cavanna@inail.it" TargetMode="External"/><Relationship Id="rId249" Type="http://schemas.openxmlformats.org/officeDocument/2006/relationships/hyperlink" Target="mailto:man.russo@inail.it" TargetMode="External"/><Relationship Id="rId414" Type="http://schemas.openxmlformats.org/officeDocument/2006/relationships/hyperlink" Target="mailto:e.lomele@inail.it" TargetMode="External"/><Relationship Id="rId456" Type="http://schemas.openxmlformats.org/officeDocument/2006/relationships/hyperlink" Target="mailto:gio.vaccaro@inail.it" TargetMode="External"/><Relationship Id="rId498" Type="http://schemas.openxmlformats.org/officeDocument/2006/relationships/hyperlink" Target="mailto:d.rinaldi@inail.it" TargetMode="External"/><Relationship Id="rId13" Type="http://schemas.openxmlformats.org/officeDocument/2006/relationships/hyperlink" Target="mailto:c.detoro@inail.it" TargetMode="External"/><Relationship Id="rId109" Type="http://schemas.openxmlformats.org/officeDocument/2006/relationships/hyperlink" Target="mailto:b.conestabiledellastaffa@inail.it" TargetMode="External"/><Relationship Id="rId260" Type="http://schemas.openxmlformats.org/officeDocument/2006/relationships/hyperlink" Target="mailto:e.opromolla@inail.it" TargetMode="External"/><Relationship Id="rId316" Type="http://schemas.openxmlformats.org/officeDocument/2006/relationships/hyperlink" Target="mailto:f.piracci@inail.it" TargetMode="External"/><Relationship Id="rId523" Type="http://schemas.openxmlformats.org/officeDocument/2006/relationships/hyperlink" Target="mailto:p.sergi@inail.it" TargetMode="External"/><Relationship Id="rId55" Type="http://schemas.openxmlformats.org/officeDocument/2006/relationships/hyperlink" Target="mailto:l.ciocchetti@inail.it" TargetMode="External"/><Relationship Id="rId97" Type="http://schemas.openxmlformats.org/officeDocument/2006/relationships/hyperlink" Target="mailto:m.larice@inail.it" TargetMode="External"/><Relationship Id="rId120" Type="http://schemas.openxmlformats.org/officeDocument/2006/relationships/hyperlink" Target="mailto:m.foddai@inail.it" TargetMode="External"/><Relationship Id="rId358" Type="http://schemas.openxmlformats.org/officeDocument/2006/relationships/hyperlink" Target="mailto:l.lorusso@inail.it" TargetMode="External"/><Relationship Id="rId162" Type="http://schemas.openxmlformats.org/officeDocument/2006/relationships/hyperlink" Target="mailto:s.chiarelli@inail.it" TargetMode="External"/><Relationship Id="rId218" Type="http://schemas.openxmlformats.org/officeDocument/2006/relationships/hyperlink" Target="mailto:a.catarinozzi@inail.it" TargetMode="External"/><Relationship Id="rId425" Type="http://schemas.openxmlformats.org/officeDocument/2006/relationships/hyperlink" Target="mailto:f.sofia@inail.it" TargetMode="External"/><Relationship Id="rId467" Type="http://schemas.openxmlformats.org/officeDocument/2006/relationships/hyperlink" Target="mailto:gi.vitale@inail.it" TargetMode="External"/><Relationship Id="rId271" Type="http://schemas.openxmlformats.org/officeDocument/2006/relationships/hyperlink" Target="mailto:p.addonizio@inail.it" TargetMode="External"/><Relationship Id="rId24" Type="http://schemas.openxmlformats.org/officeDocument/2006/relationships/hyperlink" Target="mailto:p.belardi@inail.it" TargetMode="External"/><Relationship Id="rId66" Type="http://schemas.openxmlformats.org/officeDocument/2006/relationships/hyperlink" Target="mailto:s.ballotta@inail.it" TargetMode="External"/><Relationship Id="rId131" Type="http://schemas.openxmlformats.org/officeDocument/2006/relationships/hyperlink" Target="mailto:s.denaro@inail.it" TargetMode="External"/><Relationship Id="rId327" Type="http://schemas.openxmlformats.org/officeDocument/2006/relationships/hyperlink" Target="mailto:b.gori@inail.it" TargetMode="External"/><Relationship Id="rId369" Type="http://schemas.openxmlformats.org/officeDocument/2006/relationships/hyperlink" Target="mailto:l.bruzzo@inail.it" TargetMode="External"/><Relationship Id="rId534" Type="http://schemas.openxmlformats.org/officeDocument/2006/relationships/hyperlink" Target="mailto:g.dicostanzo@inail.it" TargetMode="External"/><Relationship Id="rId173" Type="http://schemas.openxmlformats.org/officeDocument/2006/relationships/hyperlink" Target="mailto:s.vacquer@inail.it" TargetMode="External"/><Relationship Id="rId229" Type="http://schemas.openxmlformats.org/officeDocument/2006/relationships/hyperlink" Target="mailto:a.romanelli@inail.it" TargetMode="External"/><Relationship Id="rId380" Type="http://schemas.openxmlformats.org/officeDocument/2006/relationships/hyperlink" Target="mailto:a.accascina@inail.it" TargetMode="External"/><Relationship Id="rId436" Type="http://schemas.openxmlformats.org/officeDocument/2006/relationships/hyperlink" Target="mailto:f.rocchi@inail.it" TargetMode="External"/><Relationship Id="rId240" Type="http://schemas.openxmlformats.org/officeDocument/2006/relationships/hyperlink" Target="mailto:a.tortorici@inail.it" TargetMode="External"/><Relationship Id="rId478" Type="http://schemas.openxmlformats.org/officeDocument/2006/relationships/hyperlink" Target="mailto:l.cavanna@inail.it" TargetMode="External"/><Relationship Id="rId35" Type="http://schemas.openxmlformats.org/officeDocument/2006/relationships/hyperlink" Target="mailto:g.diiorio@inail.it" TargetMode="External"/><Relationship Id="rId77" Type="http://schemas.openxmlformats.org/officeDocument/2006/relationships/hyperlink" Target="mailto:f.rossetti@inail.it" TargetMode="External"/><Relationship Id="rId100" Type="http://schemas.openxmlformats.org/officeDocument/2006/relationships/hyperlink" Target="mailto:an.guerra@inail.it" TargetMode="External"/><Relationship Id="rId282" Type="http://schemas.openxmlformats.org/officeDocument/2006/relationships/hyperlink" Target="mailto:b.volpe@inail.it" TargetMode="External"/><Relationship Id="rId338" Type="http://schemas.openxmlformats.org/officeDocument/2006/relationships/hyperlink" Target="mailto:s.dente@inail.it" TargetMode="External"/><Relationship Id="rId503" Type="http://schemas.openxmlformats.org/officeDocument/2006/relationships/hyperlink" Target="mailto:g.ceglia@inail.it" TargetMode="External"/><Relationship Id="rId545" Type="http://schemas.openxmlformats.org/officeDocument/2006/relationships/hyperlink" Target="mailto:e.izzo@inail.it" TargetMode="External"/><Relationship Id="rId8" Type="http://schemas.openxmlformats.org/officeDocument/2006/relationships/hyperlink" Target="mailto:l.masero@inail.it" TargetMode="External"/><Relationship Id="rId142" Type="http://schemas.openxmlformats.org/officeDocument/2006/relationships/hyperlink" Target="mailto:a.dalmonte@inail.it" TargetMode="External"/><Relationship Id="rId184" Type="http://schemas.openxmlformats.org/officeDocument/2006/relationships/hyperlink" Target="mailto:g.ladaga@inail.it" TargetMode="External"/><Relationship Id="rId391" Type="http://schemas.openxmlformats.org/officeDocument/2006/relationships/hyperlink" Target="mailto:o.didonato@inail.it" TargetMode="External"/><Relationship Id="rId405" Type="http://schemas.openxmlformats.org/officeDocument/2006/relationships/hyperlink" Target="mailto:v.polizzotto@inail.it" TargetMode="External"/><Relationship Id="rId447" Type="http://schemas.openxmlformats.org/officeDocument/2006/relationships/hyperlink" Target="mailto:mar.tedesco@inail.it" TargetMode="External"/><Relationship Id="rId251" Type="http://schemas.openxmlformats.org/officeDocument/2006/relationships/hyperlink" Target="mailto:m.platania@inail.it" TargetMode="External"/><Relationship Id="rId489" Type="http://schemas.openxmlformats.org/officeDocument/2006/relationships/hyperlink" Target="mailto:a.catarinozzi@inail.it" TargetMode="External"/><Relationship Id="rId46" Type="http://schemas.openxmlformats.org/officeDocument/2006/relationships/hyperlink" Target="mailto:l.carta@inail.it" TargetMode="External"/><Relationship Id="rId293" Type="http://schemas.openxmlformats.org/officeDocument/2006/relationships/hyperlink" Target="mailto:a.carro@inail.it" TargetMode="External"/><Relationship Id="rId307" Type="http://schemas.openxmlformats.org/officeDocument/2006/relationships/hyperlink" Target="mailto:l.ciocchetti@inail.it" TargetMode="External"/><Relationship Id="rId349" Type="http://schemas.openxmlformats.org/officeDocument/2006/relationships/hyperlink" Target="mailto:i.mazzarelli@inail.it" TargetMode="External"/><Relationship Id="rId514" Type="http://schemas.openxmlformats.org/officeDocument/2006/relationships/hyperlink" Target="mailto:c.quattrone@inail.it" TargetMode="External"/><Relationship Id="rId88" Type="http://schemas.openxmlformats.org/officeDocument/2006/relationships/hyperlink" Target="mailto:m.sambusida@inail.it" TargetMode="External"/><Relationship Id="rId111" Type="http://schemas.openxmlformats.org/officeDocument/2006/relationships/hyperlink" Target="mailto:fa.zichichi@inail.it" TargetMode="External"/><Relationship Id="rId153" Type="http://schemas.openxmlformats.org/officeDocument/2006/relationships/hyperlink" Target="mailto:f.filippone@inail.it" TargetMode="External"/><Relationship Id="rId195" Type="http://schemas.openxmlformats.org/officeDocument/2006/relationships/hyperlink" Target="mailto:f.nigri@inail.it" TargetMode="External"/><Relationship Id="rId209" Type="http://schemas.openxmlformats.org/officeDocument/2006/relationships/hyperlink" Target="mailto:r.milone@inail.it" TargetMode="External"/><Relationship Id="rId360" Type="http://schemas.openxmlformats.org/officeDocument/2006/relationships/hyperlink" Target="mailto:m.larice@inail.it" TargetMode="External"/><Relationship Id="rId416" Type="http://schemas.openxmlformats.org/officeDocument/2006/relationships/hyperlink" Target="mailto:g.barsocchi@inail.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5"/>
  <sheetViews>
    <sheetView tabSelected="1" workbookViewId="0">
      <selection activeCell="D1" sqref="D1"/>
    </sheetView>
  </sheetViews>
  <sheetFormatPr defaultRowHeight="14.25" x14ac:dyDescent="0.45"/>
  <cols>
    <col min="1" max="16384" width="9.06640625" style="12"/>
  </cols>
  <sheetData>
    <row r="1" spans="1:18" ht="31.5" x14ac:dyDescent="0.45">
      <c r="A1" s="9">
        <v>1</v>
      </c>
      <c r="B1" s="2" t="s">
        <v>0</v>
      </c>
      <c r="C1" s="5" t="s">
        <v>1</v>
      </c>
      <c r="D1" s="5" t="s">
        <v>2</v>
      </c>
      <c r="E1" s="4">
        <f>IFERROR(INDEX([1]uot!$A$2:$A$40, MATCH("*"&amp;'[1]Personale di appoggio'!$D2&amp;"*", [1]uot!$B$2:$B$40, 0)), "Valore non trovato")</f>
        <v>1</v>
      </c>
      <c r="F1" s="4" t="str">
        <f>IF(TRIM('[1]Personale di appoggio'!$F2)=TRIM([1]qualifiche!$E$2),[1]qualifiche!$D$2,
IF(TRIM('[1]Personale di appoggio'!$F2)=TRIM([1]qualifiche!$E$3),[1]qualifiche!$D$3,
IF(TRIM('[1]Personale di appoggio'!$F2)=TRIM([1]qualifiche!$E$4),[1]qualifiche!$D$4,
IF(TRIM('[1]Personale di appoggio'!$F2)=TRIM([1]qualifiche!$E$5),[1]qualifiche!$D$5,
IF(TRIM('[1]Personale di appoggio'!$F2)=TRIM([1]qualifiche!$E$6),[1]qualifiche!$D$6,
IF(TRIM('[1]Personale di appoggio'!$F2)=TRIM([1]qualifiche!$E$7),[1]qualifiche!$D$7,
IF(TRIM('[1]Personale di appoggio'!$F2)=TRIM([1]qualifiche!$E$8),[1]qualifiche!$D$8,
IF(TRIM('[1]Personale di appoggio'!$F2)=TRIM([1]qualifiche!$E$9),[1]qualifiche!$D$9,
IF(TRIM('[1]Personale di appoggio'!$F2)=TRIM([1]qualifiche!$E$10),[1]qualifiche!$D$10,
IF(TRIM('[1]Personale di appoggio'!$F2)=TRIM([1]qualifiche!$E$11),[1]qualifiche!$D$11,""))))))))))</f>
        <v/>
      </c>
      <c r="G1" s="5" t="s">
        <v>3</v>
      </c>
      <c r="H1" s="5" t="s">
        <v>4</v>
      </c>
      <c r="I1" s="1" t="s">
        <v>5</v>
      </c>
      <c r="J1" s="7">
        <f>IF('[1]Personale di appoggio'!J2="X",1,0)</f>
        <v>0</v>
      </c>
      <c r="K1" s="7">
        <f>IF('[1]Personale di appoggio'!K2="X",1,0)</f>
        <v>0</v>
      </c>
      <c r="L1" s="7">
        <f>IF('[1]Personale di appoggio'!L2="X",1,0)</f>
        <v>0</v>
      </c>
      <c r="M1" s="7">
        <f>IF('[1]Personale di appoggio'!M2="X",1,0)</f>
        <v>0</v>
      </c>
      <c r="N1" s="10"/>
      <c r="O1" s="10"/>
      <c r="P1" s="11" t="str">
        <f>IF('[1]Personale di appoggio'!$P2="","",'[1]Personale di appoggio'!$P2)</f>
        <v/>
      </c>
      <c r="Q1" s="4" t="s">
        <v>6</v>
      </c>
      <c r="R1" s="4">
        <f>IF(COUNTIF($J1:$M1,"1")= 4, 1, IF(COUNTIF($J1:$M1,"1")&gt;0,2,4))</f>
        <v>4</v>
      </c>
    </row>
    <row r="2" spans="1:18" ht="31.5" x14ac:dyDescent="0.45">
      <c r="A2" s="9">
        <v>2</v>
      </c>
      <c r="B2" s="2" t="s">
        <v>7</v>
      </c>
      <c r="C2" s="5" t="s">
        <v>8</v>
      </c>
      <c r="D2" s="5" t="s">
        <v>9</v>
      </c>
      <c r="E2" s="4">
        <f>IFERROR(INDEX([1]uot!$A$2:$A$40, MATCH("*"&amp;'[1]Personale di appoggio'!$D3&amp;"*", [1]uot!$B$2:$B$40, 0)), "Valore non trovato")</f>
        <v>14</v>
      </c>
      <c r="F2" s="4">
        <f>IF(TRIM('[1]Personale di appoggio'!$F3)=TRIM([1]qualifiche!$E$2),[1]qualifiche!$D$2,
IF(TRIM('[1]Personale di appoggio'!$F3)=TRIM([1]qualifiche!$E$3),[1]qualifiche!$D$3,
IF(TRIM('[1]Personale di appoggio'!$F3)=TRIM([1]qualifiche!$E$4),[1]qualifiche!$D$4,
IF(TRIM('[1]Personale di appoggio'!$F3)=TRIM([1]qualifiche!$E$5),[1]qualifiche!$D$5,
IF(TRIM('[1]Personale di appoggio'!$F3)=TRIM([1]qualifiche!$E$6),[1]qualifiche!$D$6,
IF(TRIM('[1]Personale di appoggio'!$F3)=TRIM([1]qualifiche!$E$7),[1]qualifiche!$D$7,
IF(TRIM('[1]Personale di appoggio'!$F3)=TRIM([1]qualifiche!$E$8),[1]qualifiche!$D$8,
IF(TRIM('[1]Personale di appoggio'!$F3)=TRIM([1]qualifiche!$E$9),[1]qualifiche!$D$9,
IF(TRIM('[1]Personale di appoggio'!$F3)=TRIM([1]qualifiche!$E$10),[1]qualifiche!$D$10,
IF(TRIM('[1]Personale di appoggio'!$F3)=TRIM([1]qualifiche!$E$11),[1]qualifiche!$D$11,""))))))))))</f>
        <v>1</v>
      </c>
      <c r="G2" s="5" t="s">
        <v>10</v>
      </c>
      <c r="H2" s="5" t="s">
        <v>11</v>
      </c>
      <c r="I2" s="1" t="s">
        <v>12</v>
      </c>
      <c r="J2" s="7">
        <f>IF('[1]Personale di appoggio'!J3="X",1,0)</f>
        <v>0</v>
      </c>
      <c r="K2" s="7">
        <f>IF('[1]Personale di appoggio'!K3="X",1,0)</f>
        <v>0</v>
      </c>
      <c r="L2" s="7">
        <f>IF('[1]Personale di appoggio'!L3="X",1,0)</f>
        <v>0</v>
      </c>
      <c r="M2" s="7">
        <f>IF('[1]Personale di appoggio'!M3="X",1,0)</f>
        <v>0</v>
      </c>
      <c r="N2" s="10"/>
      <c r="O2" s="10"/>
      <c r="P2" s="11" t="str">
        <f>IF('[1]Personale di appoggio'!$P3="","",'[1]Personale di appoggio'!$P3)</f>
        <v/>
      </c>
      <c r="Q2" s="4" t="s">
        <v>6</v>
      </c>
      <c r="R2" s="4">
        <f t="shared" ref="R2:R65" si="0">IF(COUNTIF($J2:$M2,"1")= 4, 1, IF(COUNTIF($J2:$M2,"1")&gt;0,2,4))</f>
        <v>4</v>
      </c>
    </row>
    <row r="3" spans="1:18" ht="31.5" x14ac:dyDescent="0.45">
      <c r="A3" s="9">
        <v>3</v>
      </c>
      <c r="B3" s="2" t="s">
        <v>13</v>
      </c>
      <c r="C3" s="5" t="s">
        <v>14</v>
      </c>
      <c r="D3" s="5" t="s">
        <v>15</v>
      </c>
      <c r="E3" s="4">
        <f>IFERROR(INDEX([1]uot!$A$2:$A$40, MATCH("*"&amp;'[1]Personale di appoggio'!$D4&amp;"*", [1]uot!$B$2:$B$40, 0)), "Valore non trovato")</f>
        <v>14</v>
      </c>
      <c r="F3" s="4">
        <f>IF(TRIM('[1]Personale di appoggio'!$F4)=TRIM([1]qualifiche!$E$2),[1]qualifiche!$D$2,
IF(TRIM('[1]Personale di appoggio'!$F4)=TRIM([1]qualifiche!$E$3),[1]qualifiche!$D$3,
IF(TRIM('[1]Personale di appoggio'!$F4)=TRIM([1]qualifiche!$E$4),[1]qualifiche!$D$4,
IF(TRIM('[1]Personale di appoggio'!$F4)=TRIM([1]qualifiche!$E$5),[1]qualifiche!$D$5,
IF(TRIM('[1]Personale di appoggio'!$F4)=TRIM([1]qualifiche!$E$6),[1]qualifiche!$D$6,
IF(TRIM('[1]Personale di appoggio'!$F4)=TRIM([1]qualifiche!$E$7),[1]qualifiche!$D$7,
IF(TRIM('[1]Personale di appoggio'!$F4)=TRIM([1]qualifiche!$E$8),[1]qualifiche!$D$8,
IF(TRIM('[1]Personale di appoggio'!$F4)=TRIM([1]qualifiche!$E$9),[1]qualifiche!$D$9,
IF(TRIM('[1]Personale di appoggio'!$F4)=TRIM([1]qualifiche!$E$10),[1]qualifiche!$D$10,
IF(TRIM('[1]Personale di appoggio'!$F4)=TRIM([1]qualifiche!$E$11),[1]qualifiche!$D$11,""))))))))))</f>
        <v>2</v>
      </c>
      <c r="G3" s="5" t="s">
        <v>16</v>
      </c>
      <c r="H3" s="5" t="s">
        <v>17</v>
      </c>
      <c r="I3" s="1" t="s">
        <v>18</v>
      </c>
      <c r="J3" s="7">
        <f>IF('[1]Personale di appoggio'!J4="X",1,0)</f>
        <v>1</v>
      </c>
      <c r="K3" s="7">
        <f>IF('[1]Personale di appoggio'!K4="X",1,0)</f>
        <v>0</v>
      </c>
      <c r="L3" s="7">
        <f>IF('[1]Personale di appoggio'!L4="X",1,0)</f>
        <v>1</v>
      </c>
      <c r="M3" s="7">
        <f>IF('[1]Personale di appoggio'!M4="X",1,0)</f>
        <v>0</v>
      </c>
      <c r="N3" s="10"/>
      <c r="O3" s="10"/>
      <c r="P3" s="11" t="str">
        <f>IF('[1]Personale di appoggio'!$P4="","",'[1]Personale di appoggio'!$P4)</f>
        <v/>
      </c>
      <c r="Q3" s="4" t="s">
        <v>6</v>
      </c>
      <c r="R3" s="4">
        <f t="shared" si="0"/>
        <v>2</v>
      </c>
    </row>
    <row r="4" spans="1:18" ht="31.5" x14ac:dyDescent="0.45">
      <c r="A4" s="9">
        <v>4</v>
      </c>
      <c r="B4" s="2" t="s">
        <v>19</v>
      </c>
      <c r="C4" s="5" t="s">
        <v>20</v>
      </c>
      <c r="D4" s="5" t="s">
        <v>21</v>
      </c>
      <c r="E4" s="4">
        <f>IFERROR(INDEX([1]uot!$A$2:$A$40, MATCH("*"&amp;'[1]Personale di appoggio'!$D5&amp;"*", [1]uot!$B$2:$B$40, 0)), "Valore non trovato")</f>
        <v>14</v>
      </c>
      <c r="F4" s="4">
        <f>IF(TRIM('[1]Personale di appoggio'!$F5)=TRIM([1]qualifiche!$E$2),[1]qualifiche!$D$2,
IF(TRIM('[1]Personale di appoggio'!$F5)=TRIM([1]qualifiche!$E$3),[1]qualifiche!$D$3,
IF(TRIM('[1]Personale di appoggio'!$F5)=TRIM([1]qualifiche!$E$4),[1]qualifiche!$D$4,
IF(TRIM('[1]Personale di appoggio'!$F5)=TRIM([1]qualifiche!$E$5),[1]qualifiche!$D$5,
IF(TRIM('[1]Personale di appoggio'!$F5)=TRIM([1]qualifiche!$E$6),[1]qualifiche!$D$6,
IF(TRIM('[1]Personale di appoggio'!$F5)=TRIM([1]qualifiche!$E$7),[1]qualifiche!$D$7,
IF(TRIM('[1]Personale di appoggio'!$F5)=TRIM([1]qualifiche!$E$8),[1]qualifiche!$D$8,
IF(TRIM('[1]Personale di appoggio'!$F5)=TRIM([1]qualifiche!$E$9),[1]qualifiche!$D$9,
IF(TRIM('[1]Personale di appoggio'!$F5)=TRIM([1]qualifiche!$E$10),[1]qualifiche!$D$10,
IF(TRIM('[1]Personale di appoggio'!$F5)=TRIM([1]qualifiche!$E$11),[1]qualifiche!$D$11,""))))))))))</f>
        <v>4</v>
      </c>
      <c r="G4" s="5" t="s">
        <v>22</v>
      </c>
      <c r="H4" s="5" t="s">
        <v>23</v>
      </c>
      <c r="I4" s="1" t="s">
        <v>24</v>
      </c>
      <c r="J4" s="7">
        <f>IF('[1]Personale di appoggio'!J5="X",1,0)</f>
        <v>1</v>
      </c>
      <c r="K4" s="7">
        <f>IF('[1]Personale di appoggio'!K5="X",1,0)</f>
        <v>1</v>
      </c>
      <c r="L4" s="7">
        <f>IF('[1]Personale di appoggio'!L5="X",1,0)</f>
        <v>1</v>
      </c>
      <c r="M4" s="7">
        <f>IF('[1]Personale di appoggio'!M5="X",1,0)</f>
        <v>0</v>
      </c>
      <c r="N4" s="10"/>
      <c r="O4" s="10"/>
      <c r="P4" s="11" t="str">
        <f>IF('[1]Personale di appoggio'!$P5="","",'[1]Personale di appoggio'!$P5)</f>
        <v/>
      </c>
      <c r="Q4" s="4" t="s">
        <v>6</v>
      </c>
      <c r="R4" s="4">
        <f t="shared" si="0"/>
        <v>2</v>
      </c>
    </row>
    <row r="5" spans="1:18" ht="31.5" x14ac:dyDescent="0.45">
      <c r="A5" s="9">
        <v>5</v>
      </c>
      <c r="B5" s="2" t="s">
        <v>25</v>
      </c>
      <c r="C5" s="5" t="s">
        <v>26</v>
      </c>
      <c r="D5" s="5" t="s">
        <v>27</v>
      </c>
      <c r="E5" s="4">
        <f>IFERROR(INDEX([1]uot!$A$2:$A$40, MATCH("*"&amp;'[1]Personale di appoggio'!$D6&amp;"*", [1]uot!$B$2:$B$40, 0)), "Valore non trovato")</f>
        <v>14</v>
      </c>
      <c r="F5" s="4">
        <f>IF(TRIM('[1]Personale di appoggio'!$F6)=TRIM([1]qualifiche!$E$2),[1]qualifiche!$D$2,
IF(TRIM('[1]Personale di appoggio'!$F6)=TRIM([1]qualifiche!$E$3),[1]qualifiche!$D$3,
IF(TRIM('[1]Personale di appoggio'!$F6)=TRIM([1]qualifiche!$E$4),[1]qualifiche!$D$4,
IF(TRIM('[1]Personale di appoggio'!$F6)=TRIM([1]qualifiche!$E$5),[1]qualifiche!$D$5,
IF(TRIM('[1]Personale di appoggio'!$F6)=TRIM([1]qualifiche!$E$6),[1]qualifiche!$D$6,
IF(TRIM('[1]Personale di appoggio'!$F6)=TRIM([1]qualifiche!$E$7),[1]qualifiche!$D$7,
IF(TRIM('[1]Personale di appoggio'!$F6)=TRIM([1]qualifiche!$E$8),[1]qualifiche!$D$8,
IF(TRIM('[1]Personale di appoggio'!$F6)=TRIM([1]qualifiche!$E$9),[1]qualifiche!$D$9,
IF(TRIM('[1]Personale di appoggio'!$F6)=TRIM([1]qualifiche!$E$10),[1]qualifiche!$D$10,
IF(TRIM('[1]Personale di appoggio'!$F6)=TRIM([1]qualifiche!$E$11),[1]qualifiche!$D$11,""))))))))))</f>
        <v>6</v>
      </c>
      <c r="G5" s="5" t="s">
        <v>28</v>
      </c>
      <c r="H5" s="5" t="s">
        <v>29</v>
      </c>
      <c r="I5" s="1" t="s">
        <v>30</v>
      </c>
      <c r="J5" s="7">
        <f>IF('[1]Personale di appoggio'!J6="X",1,0)</f>
        <v>0</v>
      </c>
      <c r="K5" s="7">
        <f>IF('[1]Personale di appoggio'!K6="X",1,0)</f>
        <v>0</v>
      </c>
      <c r="L5" s="7">
        <f>IF('[1]Personale di appoggio'!L6="X",1,0)</f>
        <v>0</v>
      </c>
      <c r="M5" s="7">
        <f>IF('[1]Personale di appoggio'!M6="X",1,0)</f>
        <v>1</v>
      </c>
      <c r="N5" s="10"/>
      <c r="O5" s="10"/>
      <c r="P5" s="11" t="str">
        <f>IF('[1]Personale di appoggio'!$P6="","",'[1]Personale di appoggio'!$P6)</f>
        <v/>
      </c>
      <c r="Q5" s="4" t="s">
        <v>6</v>
      </c>
      <c r="R5" s="4">
        <f t="shared" si="0"/>
        <v>2</v>
      </c>
    </row>
    <row r="6" spans="1:18" ht="31.5" x14ac:dyDescent="0.45">
      <c r="A6" s="9">
        <v>6</v>
      </c>
      <c r="B6" s="2" t="s">
        <v>31</v>
      </c>
      <c r="C6" s="5" t="s">
        <v>32</v>
      </c>
      <c r="D6" s="5" t="s">
        <v>33</v>
      </c>
      <c r="E6" s="4">
        <f>IFERROR(INDEX([1]uot!$A$2:$A$40, MATCH("*"&amp;'[1]Personale di appoggio'!$D7&amp;"*", [1]uot!$B$2:$B$40, 0)), "Valore non trovato")</f>
        <v>14</v>
      </c>
      <c r="F6" s="4">
        <f>IF(TRIM('[1]Personale di appoggio'!$F7)=TRIM([1]qualifiche!$E$2),[1]qualifiche!$D$2,
IF(TRIM('[1]Personale di appoggio'!$F7)=TRIM([1]qualifiche!$E$3),[1]qualifiche!$D$3,
IF(TRIM('[1]Personale di appoggio'!$F7)=TRIM([1]qualifiche!$E$4),[1]qualifiche!$D$4,
IF(TRIM('[1]Personale di appoggio'!$F7)=TRIM([1]qualifiche!$E$5),[1]qualifiche!$D$5,
IF(TRIM('[1]Personale di appoggio'!$F7)=TRIM([1]qualifiche!$E$6),[1]qualifiche!$D$6,
IF(TRIM('[1]Personale di appoggio'!$F7)=TRIM([1]qualifiche!$E$7),[1]qualifiche!$D$7,
IF(TRIM('[1]Personale di appoggio'!$F7)=TRIM([1]qualifiche!$E$8),[1]qualifiche!$D$8,
IF(TRIM('[1]Personale di appoggio'!$F7)=TRIM([1]qualifiche!$E$9),[1]qualifiche!$D$9,
IF(TRIM('[1]Personale di appoggio'!$F7)=TRIM([1]qualifiche!$E$10),[1]qualifiche!$D$10,
IF(TRIM('[1]Personale di appoggio'!$F7)=TRIM([1]qualifiche!$E$11),[1]qualifiche!$D$11,""))))))))))</f>
        <v>6</v>
      </c>
      <c r="G6" s="5" t="s">
        <v>34</v>
      </c>
      <c r="H6" s="5" t="s">
        <v>35</v>
      </c>
      <c r="I6" s="1" t="s">
        <v>36</v>
      </c>
      <c r="J6" s="7">
        <f>IF('[1]Personale di appoggio'!J7="X",1,0)</f>
        <v>0</v>
      </c>
      <c r="K6" s="7">
        <f>IF('[1]Personale di appoggio'!K7="X",1,0)</f>
        <v>0</v>
      </c>
      <c r="L6" s="7">
        <f>IF('[1]Personale di appoggio'!L7="X",1,0)</f>
        <v>0</v>
      </c>
      <c r="M6" s="7">
        <f>IF('[1]Personale di appoggio'!M7="X",1,0)</f>
        <v>0</v>
      </c>
      <c r="N6" s="10"/>
      <c r="O6" s="10"/>
      <c r="P6" s="11" t="str">
        <f>IF('[1]Personale di appoggio'!$P7="","",'[1]Personale di appoggio'!$P7)</f>
        <v/>
      </c>
      <c r="Q6" s="4" t="s">
        <v>6</v>
      </c>
      <c r="R6" s="4">
        <f t="shared" si="0"/>
        <v>4</v>
      </c>
    </row>
    <row r="7" spans="1:18" ht="31.5" x14ac:dyDescent="0.45">
      <c r="A7" s="9">
        <v>7</v>
      </c>
      <c r="B7" s="2" t="s">
        <v>37</v>
      </c>
      <c r="C7" s="5" t="s">
        <v>38</v>
      </c>
      <c r="D7" s="5" t="s">
        <v>39</v>
      </c>
      <c r="E7" s="4">
        <f>IFERROR(INDEX([1]uot!$A$2:$A$40, MATCH("*"&amp;'[1]Personale di appoggio'!$D8&amp;"*", [1]uot!$B$2:$B$40, 0)), "Valore non trovato")</f>
        <v>14</v>
      </c>
      <c r="F7" s="4">
        <f>IF(TRIM('[1]Personale di appoggio'!$F8)=TRIM([1]qualifiche!$E$2),[1]qualifiche!$D$2,
IF(TRIM('[1]Personale di appoggio'!$F8)=TRIM([1]qualifiche!$E$3),[1]qualifiche!$D$3,
IF(TRIM('[1]Personale di appoggio'!$F8)=TRIM([1]qualifiche!$E$4),[1]qualifiche!$D$4,
IF(TRIM('[1]Personale di appoggio'!$F8)=TRIM([1]qualifiche!$E$5),[1]qualifiche!$D$5,
IF(TRIM('[1]Personale di appoggio'!$F8)=TRIM([1]qualifiche!$E$6),[1]qualifiche!$D$6,
IF(TRIM('[1]Personale di appoggio'!$F8)=TRIM([1]qualifiche!$E$7),[1]qualifiche!$D$7,
IF(TRIM('[1]Personale di appoggio'!$F8)=TRIM([1]qualifiche!$E$8),[1]qualifiche!$D$8,
IF(TRIM('[1]Personale di appoggio'!$F8)=TRIM([1]qualifiche!$E$9),[1]qualifiche!$D$9,
IF(TRIM('[1]Personale di appoggio'!$F8)=TRIM([1]qualifiche!$E$10),[1]qualifiche!$D$10,
IF(TRIM('[1]Personale di appoggio'!$F8)=TRIM([1]qualifiche!$E$11),[1]qualifiche!$D$11,""))))))))))</f>
        <v>7</v>
      </c>
      <c r="G7" s="5" t="s">
        <v>40</v>
      </c>
      <c r="H7" s="5" t="s">
        <v>41</v>
      </c>
      <c r="I7" s="1" t="s">
        <v>42</v>
      </c>
      <c r="J7" s="7">
        <f>IF('[1]Personale di appoggio'!J8="X",1,0)</f>
        <v>0</v>
      </c>
      <c r="K7" s="7">
        <f>IF('[1]Personale di appoggio'!K8="X",1,0)</f>
        <v>0</v>
      </c>
      <c r="L7" s="7">
        <f>IF('[1]Personale di appoggio'!L8="X",1,0)</f>
        <v>0</v>
      </c>
      <c r="M7" s="7">
        <f>IF('[1]Personale di appoggio'!M8="X",1,0)</f>
        <v>0</v>
      </c>
      <c r="N7" s="10"/>
      <c r="O7" s="10"/>
      <c r="P7" s="11" t="str">
        <f>IF('[1]Personale di appoggio'!$P8="","",'[1]Personale di appoggio'!$P8)</f>
        <v/>
      </c>
      <c r="Q7" s="4" t="s">
        <v>6</v>
      </c>
      <c r="R7" s="4">
        <f t="shared" si="0"/>
        <v>4</v>
      </c>
    </row>
    <row r="8" spans="1:18" ht="31.5" x14ac:dyDescent="0.45">
      <c r="A8" s="9">
        <v>8</v>
      </c>
      <c r="B8" s="2" t="s">
        <v>43</v>
      </c>
      <c r="C8" s="5" t="s">
        <v>44</v>
      </c>
      <c r="D8" s="5" t="s">
        <v>45</v>
      </c>
      <c r="E8" s="4">
        <f>IFERROR(INDEX([1]uot!$A$2:$A$40, MATCH("*"&amp;'[1]Personale di appoggio'!$D9&amp;"*", [1]uot!$B$2:$B$40, 0)), "Valore non trovato")</f>
        <v>26</v>
      </c>
      <c r="F8" s="4">
        <f>IF(TRIM('[1]Personale di appoggio'!$F9)=TRIM([1]qualifiche!$E$2),[1]qualifiche!$D$2,
IF(TRIM('[1]Personale di appoggio'!$F9)=TRIM([1]qualifiche!$E$3),[1]qualifiche!$D$3,
IF(TRIM('[1]Personale di appoggio'!$F9)=TRIM([1]qualifiche!$E$4),[1]qualifiche!$D$4,
IF(TRIM('[1]Personale di appoggio'!$F9)=TRIM([1]qualifiche!$E$5),[1]qualifiche!$D$5,
IF(TRIM('[1]Personale di appoggio'!$F9)=TRIM([1]qualifiche!$E$6),[1]qualifiche!$D$6,
IF(TRIM('[1]Personale di appoggio'!$F9)=TRIM([1]qualifiche!$E$7),[1]qualifiche!$D$7,
IF(TRIM('[1]Personale di appoggio'!$F9)=TRIM([1]qualifiche!$E$8),[1]qualifiche!$D$8,
IF(TRIM('[1]Personale di appoggio'!$F9)=TRIM([1]qualifiche!$E$9),[1]qualifiche!$D$9,
IF(TRIM('[1]Personale di appoggio'!$F9)=TRIM([1]qualifiche!$E$10),[1]qualifiche!$D$10,
IF(TRIM('[1]Personale di appoggio'!$F9)=TRIM([1]qualifiche!$E$11),[1]qualifiche!$D$11,""))))))))))</f>
        <v>1</v>
      </c>
      <c r="G8" s="5" t="s">
        <v>46</v>
      </c>
      <c r="H8" s="5" t="s">
        <v>47</v>
      </c>
      <c r="I8" s="1" t="s">
        <v>48</v>
      </c>
      <c r="J8" s="7">
        <f>IF('[1]Personale di appoggio'!J9="X",1,0)</f>
        <v>0</v>
      </c>
      <c r="K8" s="7">
        <f>IF('[1]Personale di appoggio'!K9="X",1,0)</f>
        <v>0</v>
      </c>
      <c r="L8" s="7">
        <f>IF('[1]Personale di appoggio'!L9="X",1,0)</f>
        <v>0</v>
      </c>
      <c r="M8" s="7">
        <f>IF('[1]Personale di appoggio'!M9="X",1,0)</f>
        <v>0</v>
      </c>
      <c r="N8" s="10"/>
      <c r="O8" s="10"/>
      <c r="P8" s="11" t="str">
        <f>IF('[1]Personale di appoggio'!$P9="","",'[1]Personale di appoggio'!$P9)</f>
        <v/>
      </c>
      <c r="Q8" s="4" t="s">
        <v>6</v>
      </c>
      <c r="R8" s="4">
        <f t="shared" si="0"/>
        <v>4</v>
      </c>
    </row>
    <row r="9" spans="1:18" ht="31.5" x14ac:dyDescent="0.45">
      <c r="A9" s="9">
        <v>9</v>
      </c>
      <c r="B9" s="2" t="s">
        <v>49</v>
      </c>
      <c r="C9" s="5" t="s">
        <v>50</v>
      </c>
      <c r="D9" s="5" t="s">
        <v>51</v>
      </c>
      <c r="E9" s="4">
        <f>IFERROR(INDEX([1]uot!$A$2:$A$40, MATCH("*"&amp;'[1]Personale di appoggio'!$D10&amp;"*", [1]uot!$B$2:$B$40, 0)), "Valore non trovato")</f>
        <v>26</v>
      </c>
      <c r="F9" s="4">
        <f>IF(TRIM('[1]Personale di appoggio'!$F10)=TRIM([1]qualifiche!$E$2),[1]qualifiche!$D$2,
IF(TRIM('[1]Personale di appoggio'!$F10)=TRIM([1]qualifiche!$E$3),[1]qualifiche!$D$3,
IF(TRIM('[1]Personale di appoggio'!$F10)=TRIM([1]qualifiche!$E$4),[1]qualifiche!$D$4,
IF(TRIM('[1]Personale di appoggio'!$F10)=TRIM([1]qualifiche!$E$5),[1]qualifiche!$D$5,
IF(TRIM('[1]Personale di appoggio'!$F10)=TRIM([1]qualifiche!$E$6),[1]qualifiche!$D$6,
IF(TRIM('[1]Personale di appoggio'!$F10)=TRIM([1]qualifiche!$E$7),[1]qualifiche!$D$7,
IF(TRIM('[1]Personale di appoggio'!$F10)=TRIM([1]qualifiche!$E$8),[1]qualifiche!$D$8,
IF(TRIM('[1]Personale di appoggio'!$F10)=TRIM([1]qualifiche!$E$9),[1]qualifiche!$D$9,
IF(TRIM('[1]Personale di appoggio'!$F10)=TRIM([1]qualifiche!$E$10),[1]qualifiche!$D$10,
IF(TRIM('[1]Personale di appoggio'!$F10)=TRIM([1]qualifiche!$E$11),[1]qualifiche!$D$11,""))))))))))</f>
        <v>3</v>
      </c>
      <c r="G9" s="5" t="s">
        <v>52</v>
      </c>
      <c r="H9" s="5" t="s">
        <v>53</v>
      </c>
      <c r="I9" s="1" t="s">
        <v>54</v>
      </c>
      <c r="J9" s="7">
        <f>IF('[1]Personale di appoggio'!J10="X",1,0)</f>
        <v>0</v>
      </c>
      <c r="K9" s="7">
        <f>IF('[1]Personale di appoggio'!K10="X",1,0)</f>
        <v>0</v>
      </c>
      <c r="L9" s="7">
        <f>IF('[1]Personale di appoggio'!L10="X",1,0)</f>
        <v>0</v>
      </c>
      <c r="M9" s="7">
        <f>IF('[1]Personale di appoggio'!M10="X",1,0)</f>
        <v>0</v>
      </c>
      <c r="N9" s="10"/>
      <c r="O9" s="10"/>
      <c r="P9" s="11" t="str">
        <f>IF('[1]Personale di appoggio'!$P10="","",'[1]Personale di appoggio'!$P10)</f>
        <v/>
      </c>
      <c r="Q9" s="4" t="s">
        <v>6</v>
      </c>
      <c r="R9" s="4">
        <f t="shared" si="0"/>
        <v>4</v>
      </c>
    </row>
    <row r="10" spans="1:18" ht="31.5" x14ac:dyDescent="0.45">
      <c r="A10" s="9">
        <v>10</v>
      </c>
      <c r="B10" s="2" t="s">
        <v>55</v>
      </c>
      <c r="C10" s="5" t="s">
        <v>56</v>
      </c>
      <c r="D10" s="5" t="s">
        <v>57</v>
      </c>
      <c r="E10" s="4">
        <f>IFERROR(INDEX([1]uot!$A$2:$A$40, MATCH("*"&amp;'[1]Personale di appoggio'!$D11&amp;"*", [1]uot!$B$2:$B$40, 0)), "Valore non trovato")</f>
        <v>26</v>
      </c>
      <c r="F10" s="4">
        <f>IF(TRIM('[1]Personale di appoggio'!$F11)=TRIM([1]qualifiche!$E$2),[1]qualifiche!$D$2,
IF(TRIM('[1]Personale di appoggio'!$F11)=TRIM([1]qualifiche!$E$3),[1]qualifiche!$D$3,
IF(TRIM('[1]Personale di appoggio'!$F11)=TRIM([1]qualifiche!$E$4),[1]qualifiche!$D$4,
IF(TRIM('[1]Personale di appoggio'!$F11)=TRIM([1]qualifiche!$E$5),[1]qualifiche!$D$5,
IF(TRIM('[1]Personale di appoggio'!$F11)=TRIM([1]qualifiche!$E$6),[1]qualifiche!$D$6,
IF(TRIM('[1]Personale di appoggio'!$F11)=TRIM([1]qualifiche!$E$7),[1]qualifiche!$D$7,
IF(TRIM('[1]Personale di appoggio'!$F11)=TRIM([1]qualifiche!$E$8),[1]qualifiche!$D$8,
IF(TRIM('[1]Personale di appoggio'!$F11)=TRIM([1]qualifiche!$E$9),[1]qualifiche!$D$9,
IF(TRIM('[1]Personale di appoggio'!$F11)=TRIM([1]qualifiche!$E$10),[1]qualifiche!$D$10,
IF(TRIM('[1]Personale di appoggio'!$F11)=TRIM([1]qualifiche!$E$11),[1]qualifiche!$D$11,""))))))))))</f>
        <v>5</v>
      </c>
      <c r="G10" s="5" t="s">
        <v>58</v>
      </c>
      <c r="H10" s="5" t="s">
        <v>59</v>
      </c>
      <c r="I10" s="1" t="s">
        <v>60</v>
      </c>
      <c r="J10" s="7">
        <f>IF('[1]Personale di appoggio'!J11="X",1,0)</f>
        <v>0</v>
      </c>
      <c r="K10" s="7">
        <f>IF('[1]Personale di appoggio'!K11="X",1,0)</f>
        <v>0</v>
      </c>
      <c r="L10" s="7">
        <f>IF('[1]Personale di appoggio'!L11="X",1,0)</f>
        <v>0</v>
      </c>
      <c r="M10" s="7">
        <f>IF('[1]Personale di appoggio'!M11="X",1,0)</f>
        <v>0</v>
      </c>
      <c r="N10" s="10"/>
      <c r="O10" s="10"/>
      <c r="P10" s="11" t="str">
        <f>IF('[1]Personale di appoggio'!$P11="","",'[1]Personale di appoggio'!$P11)</f>
        <v/>
      </c>
      <c r="Q10" s="4" t="s">
        <v>6</v>
      </c>
      <c r="R10" s="4">
        <f t="shared" si="0"/>
        <v>4</v>
      </c>
    </row>
    <row r="11" spans="1:18" ht="31.5" x14ac:dyDescent="0.45">
      <c r="A11" s="9">
        <v>11</v>
      </c>
      <c r="B11" s="2" t="s">
        <v>61</v>
      </c>
      <c r="C11" s="5" t="s">
        <v>62</v>
      </c>
      <c r="D11" s="5" t="s">
        <v>63</v>
      </c>
      <c r="E11" s="4">
        <f>IFERROR(INDEX([1]uot!$A$2:$A$40, MATCH("*"&amp;'[1]Personale di appoggio'!$D12&amp;"*", [1]uot!$B$2:$B$40, 0)), "Valore non trovato")</f>
        <v>26</v>
      </c>
      <c r="F11" s="4">
        <f>IF(TRIM('[1]Personale di appoggio'!$F12)=TRIM([1]qualifiche!$E$2),[1]qualifiche!$D$2,
IF(TRIM('[1]Personale di appoggio'!$F12)=TRIM([1]qualifiche!$E$3),[1]qualifiche!$D$3,
IF(TRIM('[1]Personale di appoggio'!$F12)=TRIM([1]qualifiche!$E$4),[1]qualifiche!$D$4,
IF(TRIM('[1]Personale di appoggio'!$F12)=TRIM([1]qualifiche!$E$5),[1]qualifiche!$D$5,
IF(TRIM('[1]Personale di appoggio'!$F12)=TRIM([1]qualifiche!$E$6),[1]qualifiche!$D$6,
IF(TRIM('[1]Personale di appoggio'!$F12)=TRIM([1]qualifiche!$E$7),[1]qualifiche!$D$7,
IF(TRIM('[1]Personale di appoggio'!$F12)=TRIM([1]qualifiche!$E$8),[1]qualifiche!$D$8,
IF(TRIM('[1]Personale di appoggio'!$F12)=TRIM([1]qualifiche!$E$9),[1]qualifiche!$D$9,
IF(TRIM('[1]Personale di appoggio'!$F12)=TRIM([1]qualifiche!$E$10),[1]qualifiche!$D$10,
IF(TRIM('[1]Personale di appoggio'!$F12)=TRIM([1]qualifiche!$E$11),[1]qualifiche!$D$11,""))))))))))</f>
        <v>4</v>
      </c>
      <c r="G11" s="5" t="s">
        <v>64</v>
      </c>
      <c r="H11" s="5" t="s">
        <v>65</v>
      </c>
      <c r="I11" s="1" t="s">
        <v>66</v>
      </c>
      <c r="J11" s="7">
        <f>IF('[1]Personale di appoggio'!J12="X",1,0)</f>
        <v>0</v>
      </c>
      <c r="K11" s="7">
        <f>IF('[1]Personale di appoggio'!K12="X",1,0)</f>
        <v>0</v>
      </c>
      <c r="L11" s="7">
        <f>IF('[1]Personale di appoggio'!L12="X",1,0)</f>
        <v>0</v>
      </c>
      <c r="M11" s="7">
        <f>IF('[1]Personale di appoggio'!M12="X",1,0)</f>
        <v>0</v>
      </c>
      <c r="N11" s="10"/>
      <c r="O11" s="10"/>
      <c r="P11" s="11" t="str">
        <f>IF('[1]Personale di appoggio'!$P12="","",'[1]Personale di appoggio'!$P12)</f>
        <v/>
      </c>
      <c r="Q11" s="4" t="s">
        <v>6</v>
      </c>
      <c r="R11" s="4">
        <f t="shared" si="0"/>
        <v>4</v>
      </c>
    </row>
    <row r="12" spans="1:18" ht="31.5" x14ac:dyDescent="0.45">
      <c r="A12" s="9">
        <v>12</v>
      </c>
      <c r="B12" s="2" t="s">
        <v>67</v>
      </c>
      <c r="C12" s="5" t="s">
        <v>68</v>
      </c>
      <c r="D12" s="5" t="s">
        <v>69</v>
      </c>
      <c r="E12" s="4">
        <f>IFERROR(INDEX([1]uot!$A$2:$A$40, MATCH("*"&amp;'[1]Personale di appoggio'!$D13&amp;"*", [1]uot!$B$2:$B$40, 0)), "Valore non trovato")</f>
        <v>26</v>
      </c>
      <c r="F12" s="4">
        <f>IF(TRIM('[1]Personale di appoggio'!$F13)=TRIM([1]qualifiche!$E$2),[1]qualifiche!$D$2,
IF(TRIM('[1]Personale di appoggio'!$F13)=TRIM([1]qualifiche!$E$3),[1]qualifiche!$D$3,
IF(TRIM('[1]Personale di appoggio'!$F13)=TRIM([1]qualifiche!$E$4),[1]qualifiche!$D$4,
IF(TRIM('[1]Personale di appoggio'!$F13)=TRIM([1]qualifiche!$E$5),[1]qualifiche!$D$5,
IF(TRIM('[1]Personale di appoggio'!$F13)=TRIM([1]qualifiche!$E$6),[1]qualifiche!$D$6,
IF(TRIM('[1]Personale di appoggio'!$F13)=TRIM([1]qualifiche!$E$7),[1]qualifiche!$D$7,
IF(TRIM('[1]Personale di appoggio'!$F13)=TRIM([1]qualifiche!$E$8),[1]qualifiche!$D$8,
IF(TRIM('[1]Personale di appoggio'!$F13)=TRIM([1]qualifiche!$E$9),[1]qualifiche!$D$9,
IF(TRIM('[1]Personale di appoggio'!$F13)=TRIM([1]qualifiche!$E$10),[1]qualifiche!$D$10,
IF(TRIM('[1]Personale di appoggio'!$F13)=TRIM([1]qualifiche!$E$11),[1]qualifiche!$D$11,""))))))))))</f>
        <v>9</v>
      </c>
      <c r="G12" s="5" t="s">
        <v>70</v>
      </c>
      <c r="H12" s="5" t="s">
        <v>71</v>
      </c>
      <c r="I12" s="1" t="s">
        <v>72</v>
      </c>
      <c r="J12" s="7">
        <f>IF('[1]Personale di appoggio'!J13="X",1,0)</f>
        <v>0</v>
      </c>
      <c r="K12" s="7">
        <f>IF('[1]Personale di appoggio'!K13="X",1,0)</f>
        <v>0</v>
      </c>
      <c r="L12" s="7">
        <f>IF('[1]Personale di appoggio'!L13="X",1,0)</f>
        <v>0</v>
      </c>
      <c r="M12" s="7">
        <f>IF('[1]Personale di appoggio'!M13="X",1,0)</f>
        <v>0</v>
      </c>
      <c r="N12" s="10"/>
      <c r="O12" s="10"/>
      <c r="P12" s="11" t="str">
        <f>IF('[1]Personale di appoggio'!$P13="","",'[1]Personale di appoggio'!$P13)</f>
        <v/>
      </c>
      <c r="Q12" s="4" t="s">
        <v>6</v>
      </c>
      <c r="R12" s="4">
        <f t="shared" si="0"/>
        <v>4</v>
      </c>
    </row>
    <row r="13" spans="1:18" ht="220.5" x14ac:dyDescent="0.45">
      <c r="A13" s="9">
        <v>13</v>
      </c>
      <c r="B13" s="2" t="s">
        <v>73</v>
      </c>
      <c r="C13" s="5" t="s">
        <v>74</v>
      </c>
      <c r="D13" s="5" t="s">
        <v>75</v>
      </c>
      <c r="E13" s="4">
        <f>IFERROR(INDEX([1]uot!$A$2:$A$40, MATCH("*"&amp;'[1]Personale di appoggio'!$D14&amp;"*", [1]uot!$B$2:$B$40, 0)), "Valore non trovato")</f>
        <v>23</v>
      </c>
      <c r="F13" s="4">
        <f>IF(TRIM('[1]Personale di appoggio'!$F14)=TRIM([1]qualifiche!$E$2),[1]qualifiche!$D$2,
IF(TRIM('[1]Personale di appoggio'!$F14)=TRIM([1]qualifiche!$E$3),[1]qualifiche!$D$3,
IF(TRIM('[1]Personale di appoggio'!$F14)=TRIM([1]qualifiche!$E$4),[1]qualifiche!$D$4,
IF(TRIM('[1]Personale di appoggio'!$F14)=TRIM([1]qualifiche!$E$5),[1]qualifiche!$D$5,
IF(TRIM('[1]Personale di appoggio'!$F14)=TRIM([1]qualifiche!$E$6),[1]qualifiche!$D$6,
IF(TRIM('[1]Personale di appoggio'!$F14)=TRIM([1]qualifiche!$E$7),[1]qualifiche!$D$7,
IF(TRIM('[1]Personale di appoggio'!$F14)=TRIM([1]qualifiche!$E$8),[1]qualifiche!$D$8,
IF(TRIM('[1]Personale di appoggio'!$F14)=TRIM([1]qualifiche!$E$9),[1]qualifiche!$D$9,
IF(TRIM('[1]Personale di appoggio'!$F14)=TRIM([1]qualifiche!$E$10),[1]qualifiche!$D$10,
IF(TRIM('[1]Personale di appoggio'!$F14)=TRIM([1]qualifiche!$E$11),[1]qualifiche!$D$11,""))))))))))</f>
        <v>1</v>
      </c>
      <c r="G13" s="5" t="s">
        <v>76</v>
      </c>
      <c r="H13" s="5" t="s">
        <v>77</v>
      </c>
      <c r="I13" s="1" t="s">
        <v>78</v>
      </c>
      <c r="J13" s="7">
        <f>IF('[1]Personale di appoggio'!J14="X",1,0)</f>
        <v>0</v>
      </c>
      <c r="K13" s="7">
        <f>IF('[1]Personale di appoggio'!K14="X",1,0)</f>
        <v>1</v>
      </c>
      <c r="L13" s="7">
        <f>IF('[1]Personale di appoggio'!L14="X",1,0)</f>
        <v>0</v>
      </c>
      <c r="M13" s="7">
        <f>IF('[1]Personale di appoggio'!M14="X",1,0)</f>
        <v>1</v>
      </c>
      <c r="N13" s="10"/>
      <c r="O13" s="10"/>
      <c r="P13" s="11" t="str">
        <f>IF('[1]Personale di appoggio'!$P14="","",'[1]Personale di appoggio'!$P14)</f>
        <v>Direttore della UOT di Torino e ad Interim di Aosta
D.Lgs 105/2015 (Ispezioni a RIR e Componente CTR)</v>
      </c>
      <c r="Q13" s="4" t="s">
        <v>6</v>
      </c>
      <c r="R13" s="4">
        <f t="shared" si="0"/>
        <v>2</v>
      </c>
    </row>
    <row r="14" spans="1:18" ht="330.75" x14ac:dyDescent="0.45">
      <c r="A14" s="9">
        <v>14</v>
      </c>
      <c r="B14" s="2" t="s">
        <v>79</v>
      </c>
      <c r="C14" s="5" t="s">
        <v>80</v>
      </c>
      <c r="D14" s="5" t="s">
        <v>81</v>
      </c>
      <c r="E14" s="4">
        <f>IFERROR(INDEX([1]uot!$A$2:$A$40, MATCH("*"&amp;'[1]Personale di appoggio'!$D15&amp;"*", [1]uot!$B$2:$B$40, 0)), "Valore non trovato")</f>
        <v>4</v>
      </c>
      <c r="F14" s="4">
        <f>IF(TRIM('[1]Personale di appoggio'!$F15)=TRIM([1]qualifiche!$E$2),[1]qualifiche!$D$2,
IF(TRIM('[1]Personale di appoggio'!$F15)=TRIM([1]qualifiche!$E$3),[1]qualifiche!$D$3,
IF(TRIM('[1]Personale di appoggio'!$F15)=TRIM([1]qualifiche!$E$4),[1]qualifiche!$D$4,
IF(TRIM('[1]Personale di appoggio'!$F15)=TRIM([1]qualifiche!$E$5),[1]qualifiche!$D$5,
IF(TRIM('[1]Personale di appoggio'!$F15)=TRIM([1]qualifiche!$E$6),[1]qualifiche!$D$6,
IF(TRIM('[1]Personale di appoggio'!$F15)=TRIM([1]qualifiche!$E$7),[1]qualifiche!$D$7,
IF(TRIM('[1]Personale di appoggio'!$F15)=TRIM([1]qualifiche!$E$8),[1]qualifiche!$D$8,
IF(TRIM('[1]Personale di appoggio'!$F15)=TRIM([1]qualifiche!$E$9),[1]qualifiche!$D$9,
IF(TRIM('[1]Personale di appoggio'!$F15)=TRIM([1]qualifiche!$E$10),[1]qualifiche!$D$10,
IF(TRIM('[1]Personale di appoggio'!$F15)=TRIM([1]qualifiche!$E$11),[1]qualifiche!$D$11,""))))))))))</f>
        <v>1</v>
      </c>
      <c r="G14" s="5" t="s">
        <v>82</v>
      </c>
      <c r="H14" s="5" t="s">
        <v>83</v>
      </c>
      <c r="I14" s="1" t="s">
        <v>84</v>
      </c>
      <c r="J14" s="7">
        <f>IF('[1]Personale di appoggio'!J15="X",1,0)</f>
        <v>1</v>
      </c>
      <c r="K14" s="7">
        <f>IF('[1]Personale di appoggio'!K15="X",1,0)</f>
        <v>1</v>
      </c>
      <c r="L14" s="7">
        <f>IF('[1]Personale di appoggio'!L15="X",1,0)</f>
        <v>1</v>
      </c>
      <c r="M14" s="7">
        <f>IF('[1]Personale di appoggio'!M15="X",1,0)</f>
        <v>1</v>
      </c>
      <c r="N14" s="10"/>
      <c r="O14" s="10"/>
      <c r="P14" s="11" t="str">
        <f>IF('[1]Personale di appoggio'!$P15="","",'[1]Personale di appoggio'!$P15)</f>
        <v>Utilizzo parziale di MAZZOLI della CONTARP LOMBARDIA per RISCALDAMENTO_ SOLLEVAMENTO e TERRA. MAZZOLI non presente nei riferimenti UOT</v>
      </c>
      <c r="Q14" s="4" t="s">
        <v>6</v>
      </c>
      <c r="R14" s="4">
        <f t="shared" si="0"/>
        <v>1</v>
      </c>
    </row>
    <row r="15" spans="1:18" ht="31.5" x14ac:dyDescent="0.45">
      <c r="A15" s="9">
        <v>15</v>
      </c>
      <c r="B15" s="2" t="s">
        <v>85</v>
      </c>
      <c r="C15" s="5" t="s">
        <v>86</v>
      </c>
      <c r="D15" s="5" t="s">
        <v>87</v>
      </c>
      <c r="E15" s="4">
        <f>IFERROR(INDEX([1]uot!$A$2:$A$40, MATCH("*"&amp;'[1]Personale di appoggio'!$D16&amp;"*", [1]uot!$B$2:$B$40, 0)), "Valore non trovato")</f>
        <v>4</v>
      </c>
      <c r="F15" s="4">
        <f>IF(TRIM('[1]Personale di appoggio'!$F16)=TRIM([1]qualifiche!$E$2),[1]qualifiche!$D$2,
IF(TRIM('[1]Personale di appoggio'!$F16)=TRIM([1]qualifiche!$E$3),[1]qualifiche!$D$3,
IF(TRIM('[1]Personale di appoggio'!$F16)=TRIM([1]qualifiche!$E$4),[1]qualifiche!$D$4,
IF(TRIM('[1]Personale di appoggio'!$F16)=TRIM([1]qualifiche!$E$5),[1]qualifiche!$D$5,
IF(TRIM('[1]Personale di appoggio'!$F16)=TRIM([1]qualifiche!$E$6),[1]qualifiche!$D$6,
IF(TRIM('[1]Personale di appoggio'!$F16)=TRIM([1]qualifiche!$E$7),[1]qualifiche!$D$7,
IF(TRIM('[1]Personale di appoggio'!$F16)=TRIM([1]qualifiche!$E$8),[1]qualifiche!$D$8,
IF(TRIM('[1]Personale di appoggio'!$F16)=TRIM([1]qualifiche!$E$9),[1]qualifiche!$D$9,
IF(TRIM('[1]Personale di appoggio'!$F16)=TRIM([1]qualifiche!$E$10),[1]qualifiche!$D$10,
IF(TRIM('[1]Personale di appoggio'!$F16)=TRIM([1]qualifiche!$E$11),[1]qualifiche!$D$11,""))))))))))</f>
        <v>2</v>
      </c>
      <c r="G15" s="5" t="s">
        <v>88</v>
      </c>
      <c r="H15" s="5" t="s">
        <v>89</v>
      </c>
      <c r="I15" s="1" t="s">
        <v>90</v>
      </c>
      <c r="J15" s="7">
        <f>IF('[1]Personale di appoggio'!J16="X",1,0)</f>
        <v>1</v>
      </c>
      <c r="K15" s="7">
        <f>IF('[1]Personale di appoggio'!K16="X",1,0)</f>
        <v>1</v>
      </c>
      <c r="L15" s="7">
        <f>IF('[1]Personale di appoggio'!L16="X",1,0)</f>
        <v>1</v>
      </c>
      <c r="M15" s="7">
        <f>IF('[1]Personale di appoggio'!M16="X",1,0)</f>
        <v>1</v>
      </c>
      <c r="N15" s="10"/>
      <c r="O15" s="10"/>
      <c r="P15" s="11" t="str">
        <f>IF('[1]Personale di appoggio'!$P16="","",'[1]Personale di appoggio'!$P16)</f>
        <v/>
      </c>
      <c r="Q15" s="4" t="s">
        <v>6</v>
      </c>
      <c r="R15" s="4">
        <f t="shared" si="0"/>
        <v>1</v>
      </c>
    </row>
    <row r="16" spans="1:18" ht="31.5" x14ac:dyDescent="0.45">
      <c r="A16" s="9">
        <v>16</v>
      </c>
      <c r="B16" s="2" t="s">
        <v>91</v>
      </c>
      <c r="C16" s="5" t="s">
        <v>92</v>
      </c>
      <c r="D16" s="5" t="s">
        <v>93</v>
      </c>
      <c r="E16" s="4">
        <f>IFERROR(INDEX([1]uot!$A$2:$A$40, MATCH("*"&amp;'[1]Personale di appoggio'!$D17&amp;"*", [1]uot!$B$2:$B$40, 0)), "Valore non trovato")</f>
        <v>4</v>
      </c>
      <c r="F16" s="4">
        <f>IF(TRIM('[1]Personale di appoggio'!$F17)=TRIM([1]qualifiche!$E$2),[1]qualifiche!$D$2,
IF(TRIM('[1]Personale di appoggio'!$F17)=TRIM([1]qualifiche!$E$3),[1]qualifiche!$D$3,
IF(TRIM('[1]Personale di appoggio'!$F17)=TRIM([1]qualifiche!$E$4),[1]qualifiche!$D$4,
IF(TRIM('[1]Personale di appoggio'!$F17)=TRIM([1]qualifiche!$E$5),[1]qualifiche!$D$5,
IF(TRIM('[1]Personale di appoggio'!$F17)=TRIM([1]qualifiche!$E$6),[1]qualifiche!$D$6,
IF(TRIM('[1]Personale di appoggio'!$F17)=TRIM([1]qualifiche!$E$7),[1]qualifiche!$D$7,
IF(TRIM('[1]Personale di appoggio'!$F17)=TRIM([1]qualifiche!$E$8),[1]qualifiche!$D$8,
IF(TRIM('[1]Personale di appoggio'!$F17)=TRIM([1]qualifiche!$E$9),[1]qualifiche!$D$9,
IF(TRIM('[1]Personale di appoggio'!$F17)=TRIM([1]qualifiche!$E$10),[1]qualifiche!$D$10,
IF(TRIM('[1]Personale di appoggio'!$F17)=TRIM([1]qualifiche!$E$11),[1]qualifiche!$D$11,""))))))))))</f>
        <v>2</v>
      </c>
      <c r="G16" s="5" t="s">
        <v>94</v>
      </c>
      <c r="H16" s="5" t="s">
        <v>95</v>
      </c>
      <c r="I16" s="1" t="s">
        <v>96</v>
      </c>
      <c r="J16" s="7">
        <f>IF('[1]Personale di appoggio'!J17="X",1,0)</f>
        <v>1</v>
      </c>
      <c r="K16" s="7">
        <f>IF('[1]Personale di appoggio'!K17="X",1,0)</f>
        <v>1</v>
      </c>
      <c r="L16" s="7">
        <f>IF('[1]Personale di appoggio'!L17="X",1,0)</f>
        <v>1</v>
      </c>
      <c r="M16" s="7">
        <f>IF('[1]Personale di appoggio'!M17="X",1,0)</f>
        <v>1</v>
      </c>
      <c r="N16" s="10"/>
      <c r="O16" s="10"/>
      <c r="P16" s="11" t="str">
        <f>IF('[1]Personale di appoggio'!$P17="","",'[1]Personale di appoggio'!$P17)</f>
        <v/>
      </c>
      <c r="Q16" s="4" t="s">
        <v>6</v>
      </c>
      <c r="R16" s="4">
        <f t="shared" si="0"/>
        <v>1</v>
      </c>
    </row>
    <row r="17" spans="1:18" ht="31.5" x14ac:dyDescent="0.45">
      <c r="A17" s="9">
        <v>17</v>
      </c>
      <c r="B17" s="2" t="s">
        <v>97</v>
      </c>
      <c r="C17" s="5" t="s">
        <v>98</v>
      </c>
      <c r="D17" s="5" t="s">
        <v>99</v>
      </c>
      <c r="E17" s="4">
        <f>IFERROR(INDEX([1]uot!$A$2:$A$40, MATCH("*"&amp;'[1]Personale di appoggio'!$D18&amp;"*", [1]uot!$B$2:$B$40, 0)), "Valore non trovato")</f>
        <v>4</v>
      </c>
      <c r="F17" s="4">
        <f>IF(TRIM('[1]Personale di appoggio'!$F18)=TRIM([1]qualifiche!$E$2),[1]qualifiche!$D$2,
IF(TRIM('[1]Personale di appoggio'!$F18)=TRIM([1]qualifiche!$E$3),[1]qualifiche!$D$3,
IF(TRIM('[1]Personale di appoggio'!$F18)=TRIM([1]qualifiche!$E$4),[1]qualifiche!$D$4,
IF(TRIM('[1]Personale di appoggio'!$F18)=TRIM([1]qualifiche!$E$5),[1]qualifiche!$D$5,
IF(TRIM('[1]Personale di appoggio'!$F18)=TRIM([1]qualifiche!$E$6),[1]qualifiche!$D$6,
IF(TRIM('[1]Personale di appoggio'!$F18)=TRIM([1]qualifiche!$E$7),[1]qualifiche!$D$7,
IF(TRIM('[1]Personale di appoggio'!$F18)=TRIM([1]qualifiche!$E$8),[1]qualifiche!$D$8,
IF(TRIM('[1]Personale di appoggio'!$F18)=TRIM([1]qualifiche!$E$9),[1]qualifiche!$D$9,
IF(TRIM('[1]Personale di appoggio'!$F18)=TRIM([1]qualifiche!$E$10),[1]qualifiche!$D$10,
IF(TRIM('[1]Personale di appoggio'!$F18)=TRIM([1]qualifiche!$E$11),[1]qualifiche!$D$11,""))))))))))</f>
        <v>3</v>
      </c>
      <c r="G17" s="5" t="s">
        <v>100</v>
      </c>
      <c r="H17" s="5" t="s">
        <v>101</v>
      </c>
      <c r="I17" s="1" t="s">
        <v>102</v>
      </c>
      <c r="J17" s="7">
        <f>IF('[1]Personale di appoggio'!J18="X",1,0)</f>
        <v>0</v>
      </c>
      <c r="K17" s="7">
        <f>IF('[1]Personale di appoggio'!K18="X",1,0)</f>
        <v>0</v>
      </c>
      <c r="L17" s="7">
        <f>IF('[1]Personale di appoggio'!L18="X",1,0)</f>
        <v>0</v>
      </c>
      <c r="M17" s="7">
        <f>IF('[1]Personale di appoggio'!M18="X",1,0)</f>
        <v>0</v>
      </c>
      <c r="N17" s="10"/>
      <c r="O17" s="10"/>
      <c r="P17" s="11" t="str">
        <f>IF('[1]Personale di appoggio'!$P18="","",'[1]Personale di appoggio'!$P18)</f>
        <v/>
      </c>
      <c r="Q17" s="4" t="s">
        <v>6</v>
      </c>
      <c r="R17" s="4">
        <f t="shared" si="0"/>
        <v>4</v>
      </c>
    </row>
    <row r="18" spans="1:18" ht="31.5" x14ac:dyDescent="0.45">
      <c r="A18" s="9">
        <v>18</v>
      </c>
      <c r="B18" s="2" t="s">
        <v>103</v>
      </c>
      <c r="C18" s="5" t="s">
        <v>104</v>
      </c>
      <c r="D18" s="5" t="s">
        <v>105</v>
      </c>
      <c r="E18" s="4">
        <f>IFERROR(INDEX([1]uot!$A$2:$A$40, MATCH("*"&amp;'[1]Personale di appoggio'!$D19&amp;"*", [1]uot!$B$2:$B$40, 0)), "Valore non trovato")</f>
        <v>4</v>
      </c>
      <c r="F18" s="4">
        <f>IF(TRIM('[1]Personale di appoggio'!$F19)=TRIM([1]qualifiche!$E$2),[1]qualifiche!$D$2,
IF(TRIM('[1]Personale di appoggio'!$F19)=TRIM([1]qualifiche!$E$3),[1]qualifiche!$D$3,
IF(TRIM('[1]Personale di appoggio'!$F19)=TRIM([1]qualifiche!$E$4),[1]qualifiche!$D$4,
IF(TRIM('[1]Personale di appoggio'!$F19)=TRIM([1]qualifiche!$E$5),[1]qualifiche!$D$5,
IF(TRIM('[1]Personale di appoggio'!$F19)=TRIM([1]qualifiche!$E$6),[1]qualifiche!$D$6,
IF(TRIM('[1]Personale di appoggio'!$F19)=TRIM([1]qualifiche!$E$7),[1]qualifiche!$D$7,
IF(TRIM('[1]Personale di appoggio'!$F19)=TRIM([1]qualifiche!$E$8),[1]qualifiche!$D$8,
IF(TRIM('[1]Personale di appoggio'!$F19)=TRIM([1]qualifiche!$E$9),[1]qualifiche!$D$9,
IF(TRIM('[1]Personale di appoggio'!$F19)=TRIM([1]qualifiche!$E$10),[1]qualifiche!$D$10,
IF(TRIM('[1]Personale di appoggio'!$F19)=TRIM([1]qualifiche!$E$11),[1]qualifiche!$D$11,""))))))))))</f>
        <v>3</v>
      </c>
      <c r="G18" s="5" t="s">
        <v>106</v>
      </c>
      <c r="H18" s="5"/>
      <c r="I18" s="1" t="s">
        <v>107</v>
      </c>
      <c r="J18" s="7">
        <f>IF('[1]Personale di appoggio'!J19="X",1,0)</f>
        <v>0</v>
      </c>
      <c r="K18" s="7">
        <f>IF('[1]Personale di appoggio'!K19="X",1,0)</f>
        <v>0</v>
      </c>
      <c r="L18" s="7">
        <f>IF('[1]Personale di appoggio'!L19="X",1,0)</f>
        <v>0</v>
      </c>
      <c r="M18" s="7">
        <f>IF('[1]Personale di appoggio'!M19="X",1,0)</f>
        <v>0</v>
      </c>
      <c r="N18" s="10"/>
      <c r="O18" s="10"/>
      <c r="P18" s="11" t="str">
        <f>IF('[1]Personale di appoggio'!$P19="","",'[1]Personale di appoggio'!$P19)</f>
        <v/>
      </c>
      <c r="Q18" s="4" t="s">
        <v>6</v>
      </c>
      <c r="R18" s="4">
        <f t="shared" si="0"/>
        <v>4</v>
      </c>
    </row>
    <row r="19" spans="1:18" ht="42.75" x14ac:dyDescent="0.45">
      <c r="A19" s="9">
        <v>19</v>
      </c>
      <c r="B19" s="2" t="s">
        <v>108</v>
      </c>
      <c r="C19" s="5" t="s">
        <v>109</v>
      </c>
      <c r="D19" s="5" t="s">
        <v>110</v>
      </c>
      <c r="E19" s="4">
        <f>IFERROR(INDEX([1]uot!$A$2:$A$40, MATCH("*"&amp;'[1]Personale di appoggio'!$D20&amp;"*", [1]uot!$B$2:$B$40, 0)), "Valore non trovato")</f>
        <v>4</v>
      </c>
      <c r="F19" s="4">
        <f>IF(TRIM('[1]Personale di appoggio'!$F20)=TRIM([1]qualifiche!$E$2),[1]qualifiche!$D$2,
IF(TRIM('[1]Personale di appoggio'!$F20)=TRIM([1]qualifiche!$E$3),[1]qualifiche!$D$3,
IF(TRIM('[1]Personale di appoggio'!$F20)=TRIM([1]qualifiche!$E$4),[1]qualifiche!$D$4,
IF(TRIM('[1]Personale di appoggio'!$F20)=TRIM([1]qualifiche!$E$5),[1]qualifiche!$D$5,
IF(TRIM('[1]Personale di appoggio'!$F20)=TRIM([1]qualifiche!$E$6),[1]qualifiche!$D$6,
IF(TRIM('[1]Personale di appoggio'!$F20)=TRIM([1]qualifiche!$E$7),[1]qualifiche!$D$7,
IF(TRIM('[1]Personale di appoggio'!$F20)=TRIM([1]qualifiche!$E$8),[1]qualifiche!$D$8,
IF(TRIM('[1]Personale di appoggio'!$F20)=TRIM([1]qualifiche!$E$9),[1]qualifiche!$D$9,
IF(TRIM('[1]Personale di appoggio'!$F20)=TRIM([1]qualifiche!$E$10),[1]qualifiche!$D$10,
IF(TRIM('[1]Personale di appoggio'!$F20)=TRIM([1]qualifiche!$E$11),[1]qualifiche!$D$11,""))))))))))</f>
        <v>4</v>
      </c>
      <c r="G19" s="5" t="s">
        <v>111</v>
      </c>
      <c r="H19" s="5"/>
      <c r="I19" s="1" t="s">
        <v>112</v>
      </c>
      <c r="J19" s="7">
        <f>IF('[1]Personale di appoggio'!J20="X",1,0)</f>
        <v>1</v>
      </c>
      <c r="K19" s="7">
        <f>IF('[1]Personale di appoggio'!K20="X",1,0)</f>
        <v>1</v>
      </c>
      <c r="L19" s="7">
        <f>IF('[1]Personale di appoggio'!L20="X",1,0)</f>
        <v>1</v>
      </c>
      <c r="M19" s="7">
        <f>IF('[1]Personale di appoggio'!M20="X",1,0)</f>
        <v>1</v>
      </c>
      <c r="N19" s="10"/>
      <c r="O19" s="10"/>
      <c r="P19" s="11" t="str">
        <f>IF('[1]Personale di appoggio'!$P20="","",'[1]Personale di appoggio'!$P20)</f>
        <v/>
      </c>
      <c r="Q19" s="4" t="s">
        <v>6</v>
      </c>
      <c r="R19" s="4">
        <f t="shared" si="0"/>
        <v>1</v>
      </c>
    </row>
    <row r="20" spans="1:18" ht="31.5" x14ac:dyDescent="0.45">
      <c r="A20" s="9">
        <v>20</v>
      </c>
      <c r="B20" s="2" t="s">
        <v>113</v>
      </c>
      <c r="C20" s="5" t="s">
        <v>114</v>
      </c>
      <c r="D20" s="5" t="s">
        <v>115</v>
      </c>
      <c r="E20" s="4">
        <f>IFERROR(INDEX([1]uot!$A$2:$A$40, MATCH("*"&amp;'[1]Personale di appoggio'!$D21&amp;"*", [1]uot!$B$2:$B$40, 0)), "Valore non trovato")</f>
        <v>4</v>
      </c>
      <c r="F20" s="4">
        <f>IF(TRIM('[1]Personale di appoggio'!$F21)=TRIM([1]qualifiche!$E$2),[1]qualifiche!$D$2,
IF(TRIM('[1]Personale di appoggio'!$F21)=TRIM([1]qualifiche!$E$3),[1]qualifiche!$D$3,
IF(TRIM('[1]Personale di appoggio'!$F21)=TRIM([1]qualifiche!$E$4),[1]qualifiche!$D$4,
IF(TRIM('[1]Personale di appoggio'!$F21)=TRIM([1]qualifiche!$E$5),[1]qualifiche!$D$5,
IF(TRIM('[1]Personale di appoggio'!$F21)=TRIM([1]qualifiche!$E$6),[1]qualifiche!$D$6,
IF(TRIM('[1]Personale di appoggio'!$F21)=TRIM([1]qualifiche!$E$7),[1]qualifiche!$D$7,
IF(TRIM('[1]Personale di appoggio'!$F21)=TRIM([1]qualifiche!$E$8),[1]qualifiche!$D$8,
IF(TRIM('[1]Personale di appoggio'!$F21)=TRIM([1]qualifiche!$E$9),[1]qualifiche!$D$9,
IF(TRIM('[1]Personale di appoggio'!$F21)=TRIM([1]qualifiche!$E$10),[1]qualifiche!$D$10,
IF(TRIM('[1]Personale di appoggio'!$F21)=TRIM([1]qualifiche!$E$11),[1]qualifiche!$D$11,""))))))))))</f>
        <v>4</v>
      </c>
      <c r="G20" s="5" t="s">
        <v>116</v>
      </c>
      <c r="H20" s="5"/>
      <c r="I20" s="1" t="s">
        <v>117</v>
      </c>
      <c r="J20" s="7">
        <f>IF('[1]Personale di appoggio'!J21="X",1,0)</f>
        <v>1</v>
      </c>
      <c r="K20" s="7">
        <f>IF('[1]Personale di appoggio'!K21="X",1,0)</f>
        <v>0</v>
      </c>
      <c r="L20" s="7">
        <f>IF('[1]Personale di appoggio'!L21="X",1,0)</f>
        <v>1</v>
      </c>
      <c r="M20" s="7">
        <f>IF('[1]Personale di appoggio'!M21="X",1,0)</f>
        <v>1</v>
      </c>
      <c r="N20" s="10"/>
      <c r="O20" s="10"/>
      <c r="P20" s="11" t="str">
        <f>IF('[1]Personale di appoggio'!$P21="","",'[1]Personale di appoggio'!$P21)</f>
        <v/>
      </c>
      <c r="Q20" s="4" t="s">
        <v>6</v>
      </c>
      <c r="R20" s="4">
        <f t="shared" si="0"/>
        <v>2</v>
      </c>
    </row>
    <row r="21" spans="1:18" ht="31.5" x14ac:dyDescent="0.45">
      <c r="A21" s="9">
        <v>21</v>
      </c>
      <c r="B21" s="2" t="s">
        <v>118</v>
      </c>
      <c r="C21" s="5" t="s">
        <v>119</v>
      </c>
      <c r="D21" s="5" t="s">
        <v>120</v>
      </c>
      <c r="E21" s="4">
        <f>IFERROR(INDEX([1]uot!$A$2:$A$40, MATCH("*"&amp;'[1]Personale di appoggio'!$D22&amp;"*", [1]uot!$B$2:$B$40, 0)), "Valore non trovato")</f>
        <v>4</v>
      </c>
      <c r="F21" s="4">
        <f>IF(TRIM('[1]Personale di appoggio'!$F22)=TRIM([1]qualifiche!$E$2),[1]qualifiche!$D$2,
IF(TRIM('[1]Personale di appoggio'!$F22)=TRIM([1]qualifiche!$E$3),[1]qualifiche!$D$3,
IF(TRIM('[1]Personale di appoggio'!$F22)=TRIM([1]qualifiche!$E$4),[1]qualifiche!$D$4,
IF(TRIM('[1]Personale di appoggio'!$F22)=TRIM([1]qualifiche!$E$5),[1]qualifiche!$D$5,
IF(TRIM('[1]Personale di appoggio'!$F22)=TRIM([1]qualifiche!$E$6),[1]qualifiche!$D$6,
IF(TRIM('[1]Personale di appoggio'!$F22)=TRIM([1]qualifiche!$E$7),[1]qualifiche!$D$7,
IF(TRIM('[1]Personale di appoggio'!$F22)=TRIM([1]qualifiche!$E$8),[1]qualifiche!$D$8,
IF(TRIM('[1]Personale di appoggio'!$F22)=TRIM([1]qualifiche!$E$9),[1]qualifiche!$D$9,
IF(TRIM('[1]Personale di appoggio'!$F22)=TRIM([1]qualifiche!$E$10),[1]qualifiche!$D$10,
IF(TRIM('[1]Personale di appoggio'!$F22)=TRIM([1]qualifiche!$E$11),[1]qualifiche!$D$11,""))))))))))</f>
        <v>6</v>
      </c>
      <c r="G21" s="5" t="s">
        <v>121</v>
      </c>
      <c r="H21" s="5"/>
      <c r="I21" s="1" t="s">
        <v>122</v>
      </c>
      <c r="J21" s="7">
        <f>IF('[1]Personale di appoggio'!J22="X",1,0)</f>
        <v>0</v>
      </c>
      <c r="K21" s="7">
        <f>IF('[1]Personale di appoggio'!K22="X",1,0)</f>
        <v>0</v>
      </c>
      <c r="L21" s="7">
        <f>IF('[1]Personale di appoggio'!L22="X",1,0)</f>
        <v>0</v>
      </c>
      <c r="M21" s="7">
        <f>IF('[1]Personale di appoggio'!M22="X",1,0)</f>
        <v>0</v>
      </c>
      <c r="N21" s="10"/>
      <c r="O21" s="10"/>
      <c r="P21" s="11" t="str">
        <f>IF('[1]Personale di appoggio'!$P22="","",'[1]Personale di appoggio'!$P22)</f>
        <v/>
      </c>
      <c r="Q21" s="4" t="s">
        <v>6</v>
      </c>
      <c r="R21" s="4">
        <f t="shared" si="0"/>
        <v>4</v>
      </c>
    </row>
    <row r="22" spans="1:18" ht="31.5" x14ac:dyDescent="0.45">
      <c r="A22" s="9">
        <v>22</v>
      </c>
      <c r="B22" s="2" t="s">
        <v>123</v>
      </c>
      <c r="C22" s="5" t="s">
        <v>124</v>
      </c>
      <c r="D22" s="5" t="s">
        <v>63</v>
      </c>
      <c r="E22" s="4">
        <f>IFERROR(INDEX([1]uot!$A$2:$A$40, MATCH("*"&amp;'[1]Personale di appoggio'!$D23&amp;"*", [1]uot!$B$2:$B$40, 0)), "Valore non trovato")</f>
        <v>4</v>
      </c>
      <c r="F22" s="4">
        <f>IF(TRIM('[1]Personale di appoggio'!$F23)=TRIM([1]qualifiche!$E$2),[1]qualifiche!$D$2,
IF(TRIM('[1]Personale di appoggio'!$F23)=TRIM([1]qualifiche!$E$3),[1]qualifiche!$D$3,
IF(TRIM('[1]Personale di appoggio'!$F23)=TRIM([1]qualifiche!$E$4),[1]qualifiche!$D$4,
IF(TRIM('[1]Personale di appoggio'!$F23)=TRIM([1]qualifiche!$E$5),[1]qualifiche!$D$5,
IF(TRIM('[1]Personale di appoggio'!$F23)=TRIM([1]qualifiche!$E$6),[1]qualifiche!$D$6,
IF(TRIM('[1]Personale di appoggio'!$F23)=TRIM([1]qualifiche!$E$7),[1]qualifiche!$D$7,
IF(TRIM('[1]Personale di appoggio'!$F23)=TRIM([1]qualifiche!$E$8),[1]qualifiche!$D$8,
IF(TRIM('[1]Personale di appoggio'!$F23)=TRIM([1]qualifiche!$E$9),[1]qualifiche!$D$9,
IF(TRIM('[1]Personale di appoggio'!$F23)=TRIM([1]qualifiche!$E$10),[1]qualifiche!$D$10,
IF(TRIM('[1]Personale di appoggio'!$F23)=TRIM([1]qualifiche!$E$11),[1]qualifiche!$D$11,""))))))))))</f>
        <v>6</v>
      </c>
      <c r="G22" s="5" t="s">
        <v>125</v>
      </c>
      <c r="H22" s="5" t="s">
        <v>126</v>
      </c>
      <c r="I22" s="1" t="s">
        <v>127</v>
      </c>
      <c r="J22" s="7">
        <f>IF('[1]Personale di appoggio'!J23="X",1,0)</f>
        <v>0</v>
      </c>
      <c r="K22" s="7">
        <f>IF('[1]Personale di appoggio'!K23="X",1,0)</f>
        <v>0</v>
      </c>
      <c r="L22" s="7">
        <f>IF('[1]Personale di appoggio'!L23="X",1,0)</f>
        <v>0</v>
      </c>
      <c r="M22" s="7">
        <f>IF('[1]Personale di appoggio'!M23="X",1,0)</f>
        <v>0</v>
      </c>
      <c r="N22" s="10"/>
      <c r="O22" s="10"/>
      <c r="P22" s="11" t="str">
        <f>IF('[1]Personale di appoggio'!$P23="","",'[1]Personale di appoggio'!$P23)</f>
        <v/>
      </c>
      <c r="Q22" s="4" t="s">
        <v>6</v>
      </c>
      <c r="R22" s="4">
        <f t="shared" si="0"/>
        <v>4</v>
      </c>
    </row>
    <row r="23" spans="1:18" ht="31.5" x14ac:dyDescent="0.45">
      <c r="A23" s="9">
        <v>23</v>
      </c>
      <c r="B23" s="2" t="s">
        <v>128</v>
      </c>
      <c r="C23" s="5" t="s">
        <v>129</v>
      </c>
      <c r="D23" s="5" t="s">
        <v>130</v>
      </c>
      <c r="E23" s="4">
        <f>IFERROR(INDEX([1]uot!$A$2:$A$40, MATCH("*"&amp;'[1]Personale di appoggio'!$D24&amp;"*", [1]uot!$B$2:$B$40, 0)), "Valore non trovato")</f>
        <v>4</v>
      </c>
      <c r="F23" s="4">
        <f>IF(TRIM('[1]Personale di appoggio'!$F24)=TRIM([1]qualifiche!$E$2),[1]qualifiche!$D$2,
IF(TRIM('[1]Personale di appoggio'!$F24)=TRIM([1]qualifiche!$E$3),[1]qualifiche!$D$3,
IF(TRIM('[1]Personale di appoggio'!$F24)=TRIM([1]qualifiche!$E$4),[1]qualifiche!$D$4,
IF(TRIM('[1]Personale di appoggio'!$F24)=TRIM([1]qualifiche!$E$5),[1]qualifiche!$D$5,
IF(TRIM('[1]Personale di appoggio'!$F24)=TRIM([1]qualifiche!$E$6),[1]qualifiche!$D$6,
IF(TRIM('[1]Personale di appoggio'!$F24)=TRIM([1]qualifiche!$E$7),[1]qualifiche!$D$7,
IF(TRIM('[1]Personale di appoggio'!$F24)=TRIM([1]qualifiche!$E$8),[1]qualifiche!$D$8,
IF(TRIM('[1]Personale di appoggio'!$F24)=TRIM([1]qualifiche!$E$9),[1]qualifiche!$D$9,
IF(TRIM('[1]Personale di appoggio'!$F24)=TRIM([1]qualifiche!$E$10),[1]qualifiche!$D$10,
IF(TRIM('[1]Personale di appoggio'!$F24)=TRIM([1]qualifiche!$E$11),[1]qualifiche!$D$11,""))))))))))</f>
        <v>6</v>
      </c>
      <c r="G23" s="5" t="s">
        <v>131</v>
      </c>
      <c r="H23" s="5"/>
      <c r="I23" s="1" t="s">
        <v>132</v>
      </c>
      <c r="J23" s="7">
        <f>IF('[1]Personale di appoggio'!J24="X",1,0)</f>
        <v>0</v>
      </c>
      <c r="K23" s="7">
        <f>IF('[1]Personale di appoggio'!K24="X",1,0)</f>
        <v>0</v>
      </c>
      <c r="L23" s="7">
        <f>IF('[1]Personale di appoggio'!L24="X",1,0)</f>
        <v>0</v>
      </c>
      <c r="M23" s="7">
        <f>IF('[1]Personale di appoggio'!M24="X",1,0)</f>
        <v>0</v>
      </c>
      <c r="N23" s="10"/>
      <c r="O23" s="10"/>
      <c r="P23" s="11" t="str">
        <f>IF('[1]Personale di appoggio'!$P24="","",'[1]Personale di appoggio'!$P24)</f>
        <v/>
      </c>
      <c r="Q23" s="4" t="s">
        <v>6</v>
      </c>
      <c r="R23" s="4">
        <f t="shared" si="0"/>
        <v>4</v>
      </c>
    </row>
    <row r="24" spans="1:18" ht="31.5" x14ac:dyDescent="0.45">
      <c r="A24" s="9">
        <v>24</v>
      </c>
      <c r="B24" s="2" t="s">
        <v>133</v>
      </c>
      <c r="C24" s="5" t="s">
        <v>134</v>
      </c>
      <c r="D24" s="5" t="s">
        <v>135</v>
      </c>
      <c r="E24" s="4">
        <f>IFERROR(INDEX([1]uot!$A$2:$A$40, MATCH("*"&amp;'[1]Personale di appoggio'!$D25&amp;"*", [1]uot!$B$2:$B$40, 0)), "Valore non trovato")</f>
        <v>4</v>
      </c>
      <c r="F24" s="4">
        <f>IF(TRIM('[1]Personale di appoggio'!$F25)=TRIM([1]qualifiche!$E$2),[1]qualifiche!$D$2,
IF(TRIM('[1]Personale di appoggio'!$F25)=TRIM([1]qualifiche!$E$3),[1]qualifiche!$D$3,
IF(TRIM('[1]Personale di appoggio'!$F25)=TRIM([1]qualifiche!$E$4),[1]qualifiche!$D$4,
IF(TRIM('[1]Personale di appoggio'!$F25)=TRIM([1]qualifiche!$E$5),[1]qualifiche!$D$5,
IF(TRIM('[1]Personale di appoggio'!$F25)=TRIM([1]qualifiche!$E$6),[1]qualifiche!$D$6,
IF(TRIM('[1]Personale di appoggio'!$F25)=TRIM([1]qualifiche!$E$7),[1]qualifiche!$D$7,
IF(TRIM('[1]Personale di appoggio'!$F25)=TRIM([1]qualifiche!$E$8),[1]qualifiche!$D$8,
IF(TRIM('[1]Personale di appoggio'!$F25)=TRIM([1]qualifiche!$E$9),[1]qualifiche!$D$9,
IF(TRIM('[1]Personale di appoggio'!$F25)=TRIM([1]qualifiche!$E$10),[1]qualifiche!$D$10,
IF(TRIM('[1]Personale di appoggio'!$F25)=TRIM([1]qualifiche!$E$11),[1]qualifiche!$D$11,""))))))))))</f>
        <v>7</v>
      </c>
      <c r="G24" s="5" t="s">
        <v>136</v>
      </c>
      <c r="H24" s="5"/>
      <c r="I24" s="1" t="s">
        <v>137</v>
      </c>
      <c r="J24" s="7">
        <f>IF('[1]Personale di appoggio'!J25="X",1,0)</f>
        <v>0</v>
      </c>
      <c r="K24" s="7">
        <f>IF('[1]Personale di appoggio'!K25="X",1,0)</f>
        <v>0</v>
      </c>
      <c r="L24" s="7">
        <f>IF('[1]Personale di appoggio'!L25="X",1,0)</f>
        <v>0</v>
      </c>
      <c r="M24" s="7">
        <f>IF('[1]Personale di appoggio'!M25="X",1,0)</f>
        <v>0</v>
      </c>
      <c r="N24" s="10"/>
      <c r="O24" s="10"/>
      <c r="P24" s="11" t="str">
        <f>IF('[1]Personale di appoggio'!$P25="","",'[1]Personale di appoggio'!$P25)</f>
        <v/>
      </c>
      <c r="Q24" s="4" t="s">
        <v>6</v>
      </c>
      <c r="R24" s="4">
        <f t="shared" si="0"/>
        <v>4</v>
      </c>
    </row>
    <row r="25" spans="1:18" ht="47.25" x14ac:dyDescent="0.45">
      <c r="A25" s="9">
        <v>25</v>
      </c>
      <c r="B25" s="2" t="s">
        <v>138</v>
      </c>
      <c r="C25" s="5" t="s">
        <v>139</v>
      </c>
      <c r="D25" s="5" t="s">
        <v>140</v>
      </c>
      <c r="E25" s="4">
        <f>IFERROR(INDEX([1]uot!$A$2:$A$40, MATCH("*"&amp;'[1]Personale di appoggio'!$D26&amp;"*", [1]uot!$B$2:$B$40, 0)), "Valore non trovato")</f>
        <v>4</v>
      </c>
      <c r="F25" s="4">
        <f>IF(TRIM('[1]Personale di appoggio'!$F26)=TRIM([1]qualifiche!$E$2),[1]qualifiche!$D$2,
IF(TRIM('[1]Personale di appoggio'!$F26)=TRIM([1]qualifiche!$E$3),[1]qualifiche!$D$3,
IF(TRIM('[1]Personale di appoggio'!$F26)=TRIM([1]qualifiche!$E$4),[1]qualifiche!$D$4,
IF(TRIM('[1]Personale di appoggio'!$F26)=TRIM([1]qualifiche!$E$5),[1]qualifiche!$D$5,
IF(TRIM('[1]Personale di appoggio'!$F26)=TRIM([1]qualifiche!$E$6),[1]qualifiche!$D$6,
IF(TRIM('[1]Personale di appoggio'!$F26)=TRIM([1]qualifiche!$E$7),[1]qualifiche!$D$7,
IF(TRIM('[1]Personale di appoggio'!$F26)=TRIM([1]qualifiche!$E$8),[1]qualifiche!$D$8,
IF(TRIM('[1]Personale di appoggio'!$F26)=TRIM([1]qualifiche!$E$9),[1]qualifiche!$D$9,
IF(TRIM('[1]Personale di appoggio'!$F26)=TRIM([1]qualifiche!$E$10),[1]qualifiche!$D$10,
IF(TRIM('[1]Personale di appoggio'!$F26)=TRIM([1]qualifiche!$E$11),[1]qualifiche!$D$11,""))))))))))</f>
        <v>7</v>
      </c>
      <c r="G25" s="5" t="s">
        <v>141</v>
      </c>
      <c r="H25" s="5"/>
      <c r="I25" s="1" t="s">
        <v>142</v>
      </c>
      <c r="J25" s="7">
        <f>IF('[1]Personale di appoggio'!J26="X",1,0)</f>
        <v>0</v>
      </c>
      <c r="K25" s="7">
        <f>IF('[1]Personale di appoggio'!K26="X",1,0)</f>
        <v>0</v>
      </c>
      <c r="L25" s="7">
        <f>IF('[1]Personale di appoggio'!L26="X",1,0)</f>
        <v>0</v>
      </c>
      <c r="M25" s="7">
        <f>IF('[1]Personale di appoggio'!M26="X",1,0)</f>
        <v>0</v>
      </c>
      <c r="N25" s="10"/>
      <c r="O25" s="10"/>
      <c r="P25" s="11" t="str">
        <f>IF('[1]Personale di appoggio'!$P26="","",'[1]Personale di appoggio'!$P26)</f>
        <v/>
      </c>
      <c r="Q25" s="4" t="s">
        <v>6</v>
      </c>
      <c r="R25" s="4">
        <f t="shared" si="0"/>
        <v>4</v>
      </c>
    </row>
    <row r="26" spans="1:18" ht="31.5" x14ac:dyDescent="0.45">
      <c r="A26" s="9">
        <v>26</v>
      </c>
      <c r="B26" s="2" t="s">
        <v>143</v>
      </c>
      <c r="C26" s="5" t="s">
        <v>144</v>
      </c>
      <c r="D26" s="5" t="s">
        <v>145</v>
      </c>
      <c r="E26" s="4">
        <f>IFERROR(INDEX([1]uot!$A$2:$A$40, MATCH("*"&amp;'[1]Personale di appoggio'!$D27&amp;"*", [1]uot!$B$2:$B$40, 0)), "Valore non trovato")</f>
        <v>4</v>
      </c>
      <c r="F26" s="4">
        <f>IF(TRIM('[1]Personale di appoggio'!$F27)=TRIM([1]qualifiche!$E$2),[1]qualifiche!$D$2,
IF(TRIM('[1]Personale di appoggio'!$F27)=TRIM([1]qualifiche!$E$3),[1]qualifiche!$D$3,
IF(TRIM('[1]Personale di appoggio'!$F27)=TRIM([1]qualifiche!$E$4),[1]qualifiche!$D$4,
IF(TRIM('[1]Personale di appoggio'!$F27)=TRIM([1]qualifiche!$E$5),[1]qualifiche!$D$5,
IF(TRIM('[1]Personale di appoggio'!$F27)=TRIM([1]qualifiche!$E$6),[1]qualifiche!$D$6,
IF(TRIM('[1]Personale di appoggio'!$F27)=TRIM([1]qualifiche!$E$7),[1]qualifiche!$D$7,
IF(TRIM('[1]Personale di appoggio'!$F27)=TRIM([1]qualifiche!$E$8),[1]qualifiche!$D$8,
IF(TRIM('[1]Personale di appoggio'!$F27)=TRIM([1]qualifiche!$E$9),[1]qualifiche!$D$9,
IF(TRIM('[1]Personale di appoggio'!$F27)=TRIM([1]qualifiche!$E$10),[1]qualifiche!$D$10,
IF(TRIM('[1]Personale di appoggio'!$F27)=TRIM([1]qualifiche!$E$11),[1]qualifiche!$D$11,""))))))))))</f>
        <v>7</v>
      </c>
      <c r="G26" s="5" t="s">
        <v>146</v>
      </c>
      <c r="H26" s="5"/>
      <c r="I26" s="1" t="s">
        <v>147</v>
      </c>
      <c r="J26" s="7">
        <f>IF('[1]Personale di appoggio'!J27="X",1,0)</f>
        <v>0</v>
      </c>
      <c r="K26" s="7">
        <f>IF('[1]Personale di appoggio'!K27="X",1,0)</f>
        <v>0</v>
      </c>
      <c r="L26" s="7">
        <f>IF('[1]Personale di appoggio'!L27="X",1,0)</f>
        <v>0</v>
      </c>
      <c r="M26" s="7">
        <f>IF('[1]Personale di appoggio'!M27="X",1,0)</f>
        <v>0</v>
      </c>
      <c r="N26" s="10"/>
      <c r="O26" s="10"/>
      <c r="P26" s="11" t="str">
        <f>IF('[1]Personale di appoggio'!$P27="","",'[1]Personale di appoggio'!$P27)</f>
        <v/>
      </c>
      <c r="Q26" s="4" t="s">
        <v>6</v>
      </c>
      <c r="R26" s="4">
        <f t="shared" si="0"/>
        <v>4</v>
      </c>
    </row>
    <row r="27" spans="1:18" ht="31.5" x14ac:dyDescent="0.45">
      <c r="A27" s="9">
        <v>27</v>
      </c>
      <c r="B27" s="2" t="s">
        <v>148</v>
      </c>
      <c r="C27" s="5" t="s">
        <v>149</v>
      </c>
      <c r="D27" s="5" t="s">
        <v>150</v>
      </c>
      <c r="E27" s="4">
        <f>IFERROR(INDEX([1]uot!$A$2:$A$40, MATCH("*"&amp;'[1]Personale di appoggio'!$D28&amp;"*", [1]uot!$B$2:$B$40, 0)), "Valore non trovato")</f>
        <v>4</v>
      </c>
      <c r="F27" s="4">
        <f>IF(TRIM('[1]Personale di appoggio'!$F28)=TRIM([1]qualifiche!$E$2),[1]qualifiche!$D$2,
IF(TRIM('[1]Personale di appoggio'!$F28)=TRIM([1]qualifiche!$E$3),[1]qualifiche!$D$3,
IF(TRIM('[1]Personale di appoggio'!$F28)=TRIM([1]qualifiche!$E$4),[1]qualifiche!$D$4,
IF(TRIM('[1]Personale di appoggio'!$F28)=TRIM([1]qualifiche!$E$5),[1]qualifiche!$D$5,
IF(TRIM('[1]Personale di appoggio'!$F28)=TRIM([1]qualifiche!$E$6),[1]qualifiche!$D$6,
IF(TRIM('[1]Personale di appoggio'!$F28)=TRIM([1]qualifiche!$E$7),[1]qualifiche!$D$7,
IF(TRIM('[1]Personale di appoggio'!$F28)=TRIM([1]qualifiche!$E$8),[1]qualifiche!$D$8,
IF(TRIM('[1]Personale di appoggio'!$F28)=TRIM([1]qualifiche!$E$9),[1]qualifiche!$D$9,
IF(TRIM('[1]Personale di appoggio'!$F28)=TRIM([1]qualifiche!$E$10),[1]qualifiche!$D$10,
IF(TRIM('[1]Personale di appoggio'!$F28)=TRIM([1]qualifiche!$E$11),[1]qualifiche!$D$11,""))))))))))</f>
        <v>7</v>
      </c>
      <c r="G27" s="5" t="s">
        <v>151</v>
      </c>
      <c r="H27" s="5"/>
      <c r="I27" s="1" t="s">
        <v>152</v>
      </c>
      <c r="J27" s="7">
        <f>IF('[1]Personale di appoggio'!J28="X",1,0)</f>
        <v>0</v>
      </c>
      <c r="K27" s="7">
        <f>IF('[1]Personale di appoggio'!K28="X",1,0)</f>
        <v>0</v>
      </c>
      <c r="L27" s="7">
        <f>IF('[1]Personale di appoggio'!L28="X",1,0)</f>
        <v>0</v>
      </c>
      <c r="M27" s="7">
        <f>IF('[1]Personale di appoggio'!M28="X",1,0)</f>
        <v>0</v>
      </c>
      <c r="N27" s="10"/>
      <c r="O27" s="10"/>
      <c r="P27" s="11" t="str">
        <f>IF('[1]Personale di appoggio'!$P28="","",'[1]Personale di appoggio'!$P28)</f>
        <v/>
      </c>
      <c r="Q27" s="4" t="s">
        <v>6</v>
      </c>
      <c r="R27" s="4">
        <f t="shared" si="0"/>
        <v>4</v>
      </c>
    </row>
    <row r="28" spans="1:18" ht="31.5" x14ac:dyDescent="0.45">
      <c r="A28" s="9">
        <v>28</v>
      </c>
      <c r="B28" s="2" t="s">
        <v>153</v>
      </c>
      <c r="C28" s="5" t="s">
        <v>154</v>
      </c>
      <c r="D28" s="5" t="s">
        <v>155</v>
      </c>
      <c r="E28" s="4">
        <f>IFERROR(INDEX([1]uot!$A$2:$A$40, MATCH("*"&amp;'[1]Personale di appoggio'!$D29&amp;"*", [1]uot!$B$2:$B$40, 0)), "Valore non trovato")</f>
        <v>4</v>
      </c>
      <c r="F28" s="4">
        <f>IF(TRIM('[1]Personale di appoggio'!$F29)=TRIM([1]qualifiche!$E$2),[1]qualifiche!$D$2,
IF(TRIM('[1]Personale di appoggio'!$F29)=TRIM([1]qualifiche!$E$3),[1]qualifiche!$D$3,
IF(TRIM('[1]Personale di appoggio'!$F29)=TRIM([1]qualifiche!$E$4),[1]qualifiche!$D$4,
IF(TRIM('[1]Personale di appoggio'!$F29)=TRIM([1]qualifiche!$E$5),[1]qualifiche!$D$5,
IF(TRIM('[1]Personale di appoggio'!$F29)=TRIM([1]qualifiche!$E$6),[1]qualifiche!$D$6,
IF(TRIM('[1]Personale di appoggio'!$F29)=TRIM([1]qualifiche!$E$7),[1]qualifiche!$D$7,
IF(TRIM('[1]Personale di appoggio'!$F29)=TRIM([1]qualifiche!$E$8),[1]qualifiche!$D$8,
IF(TRIM('[1]Personale di appoggio'!$F29)=TRIM([1]qualifiche!$E$9),[1]qualifiche!$D$9,
IF(TRIM('[1]Personale di appoggio'!$F29)=TRIM([1]qualifiche!$E$10),[1]qualifiche!$D$10,
IF(TRIM('[1]Personale di appoggio'!$F29)=TRIM([1]qualifiche!$E$11),[1]qualifiche!$D$11,""))))))))))</f>
        <v>8</v>
      </c>
      <c r="G28" s="5" t="s">
        <v>156</v>
      </c>
      <c r="H28" s="5"/>
      <c r="I28" s="1" t="s">
        <v>157</v>
      </c>
      <c r="J28" s="7">
        <f>IF('[1]Personale di appoggio'!J29="X",1,0)</f>
        <v>0</v>
      </c>
      <c r="K28" s="7">
        <f>IF('[1]Personale di appoggio'!K29="X",1,0)</f>
        <v>0</v>
      </c>
      <c r="L28" s="7">
        <f>IF('[1]Personale di appoggio'!L29="X",1,0)</f>
        <v>0</v>
      </c>
      <c r="M28" s="7">
        <f>IF('[1]Personale di appoggio'!M29="X",1,0)</f>
        <v>0</v>
      </c>
      <c r="N28" s="10"/>
      <c r="O28" s="10"/>
      <c r="P28" s="11" t="str">
        <f>IF('[1]Personale di appoggio'!$P29="","",'[1]Personale di appoggio'!$P29)</f>
        <v/>
      </c>
      <c r="Q28" s="4" t="s">
        <v>6</v>
      </c>
      <c r="R28" s="4">
        <f t="shared" si="0"/>
        <v>4</v>
      </c>
    </row>
    <row r="29" spans="1:18" ht="31.5" x14ac:dyDescent="0.45">
      <c r="A29" s="9">
        <v>29</v>
      </c>
      <c r="B29" s="2" t="s">
        <v>158</v>
      </c>
      <c r="C29" s="5" t="s">
        <v>159</v>
      </c>
      <c r="D29" s="5" t="s">
        <v>160</v>
      </c>
      <c r="E29" s="4">
        <f>IFERROR(INDEX([1]uot!$A$2:$A$40, MATCH("*"&amp;'[1]Personale di appoggio'!$D30&amp;"*", [1]uot!$B$2:$B$40, 0)), "Valore non trovato")</f>
        <v>4</v>
      </c>
      <c r="F29" s="4">
        <f>IF(TRIM('[1]Personale di appoggio'!$F30)=TRIM([1]qualifiche!$E$2),[1]qualifiche!$D$2,
IF(TRIM('[1]Personale di appoggio'!$F30)=TRIM([1]qualifiche!$E$3),[1]qualifiche!$D$3,
IF(TRIM('[1]Personale di appoggio'!$F30)=TRIM([1]qualifiche!$E$4),[1]qualifiche!$D$4,
IF(TRIM('[1]Personale di appoggio'!$F30)=TRIM([1]qualifiche!$E$5),[1]qualifiche!$D$5,
IF(TRIM('[1]Personale di appoggio'!$F30)=TRIM([1]qualifiche!$E$6),[1]qualifiche!$D$6,
IF(TRIM('[1]Personale di appoggio'!$F30)=TRIM([1]qualifiche!$E$7),[1]qualifiche!$D$7,
IF(TRIM('[1]Personale di appoggio'!$F30)=TRIM([1]qualifiche!$E$8),[1]qualifiche!$D$8,
IF(TRIM('[1]Personale di appoggio'!$F30)=TRIM([1]qualifiche!$E$9),[1]qualifiche!$D$9,
IF(TRIM('[1]Personale di appoggio'!$F30)=TRIM([1]qualifiche!$E$10),[1]qualifiche!$D$10,
IF(TRIM('[1]Personale di appoggio'!$F30)=TRIM([1]qualifiche!$E$11),[1]qualifiche!$D$11,""))))))))))</f>
        <v>8</v>
      </c>
      <c r="G29" s="5" t="s">
        <v>161</v>
      </c>
      <c r="H29" s="5"/>
      <c r="I29" s="1" t="s">
        <v>162</v>
      </c>
      <c r="J29" s="7">
        <f>IF('[1]Personale di appoggio'!J30="X",1,0)</f>
        <v>0</v>
      </c>
      <c r="K29" s="7">
        <f>IF('[1]Personale di appoggio'!K30="X",1,0)</f>
        <v>0</v>
      </c>
      <c r="L29" s="7">
        <f>IF('[1]Personale di appoggio'!L30="X",1,0)</f>
        <v>0</v>
      </c>
      <c r="M29" s="7">
        <f>IF('[1]Personale di appoggio'!M30="X",1,0)</f>
        <v>0</v>
      </c>
      <c r="N29" s="10"/>
      <c r="O29" s="10"/>
      <c r="P29" s="11" t="str">
        <f>IF('[1]Personale di appoggio'!$P30="","",'[1]Personale di appoggio'!$P30)</f>
        <v/>
      </c>
      <c r="Q29" s="4" t="s">
        <v>6</v>
      </c>
      <c r="R29" s="4">
        <f t="shared" si="0"/>
        <v>4</v>
      </c>
    </row>
    <row r="30" spans="1:18" ht="31.5" x14ac:dyDescent="0.45">
      <c r="A30" s="9">
        <v>30</v>
      </c>
      <c r="B30" s="2" t="s">
        <v>163</v>
      </c>
      <c r="C30" s="5" t="s">
        <v>164</v>
      </c>
      <c r="D30" s="5" t="s">
        <v>165</v>
      </c>
      <c r="E30" s="4">
        <f>IFERROR(INDEX([1]uot!$A$2:$A$40, MATCH("*"&amp;'[1]Personale di appoggio'!$D31&amp;"*", [1]uot!$B$2:$B$40, 0)), "Valore non trovato")</f>
        <v>4</v>
      </c>
      <c r="F30" s="4">
        <f>IF(TRIM('[1]Personale di appoggio'!$F31)=TRIM([1]qualifiche!$E$2),[1]qualifiche!$D$2,
IF(TRIM('[1]Personale di appoggio'!$F31)=TRIM([1]qualifiche!$E$3),[1]qualifiche!$D$3,
IF(TRIM('[1]Personale di appoggio'!$F31)=TRIM([1]qualifiche!$E$4),[1]qualifiche!$D$4,
IF(TRIM('[1]Personale di appoggio'!$F31)=TRIM([1]qualifiche!$E$5),[1]qualifiche!$D$5,
IF(TRIM('[1]Personale di appoggio'!$F31)=TRIM([1]qualifiche!$E$6),[1]qualifiche!$D$6,
IF(TRIM('[1]Personale di appoggio'!$F31)=TRIM([1]qualifiche!$E$7),[1]qualifiche!$D$7,
IF(TRIM('[1]Personale di appoggio'!$F31)=TRIM([1]qualifiche!$E$8),[1]qualifiche!$D$8,
IF(TRIM('[1]Personale di appoggio'!$F31)=TRIM([1]qualifiche!$E$9),[1]qualifiche!$D$9,
IF(TRIM('[1]Personale di appoggio'!$F31)=TRIM([1]qualifiche!$E$10),[1]qualifiche!$D$10,
IF(TRIM('[1]Personale di appoggio'!$F31)=TRIM([1]qualifiche!$E$11),[1]qualifiche!$D$11,""))))))))))</f>
        <v>8</v>
      </c>
      <c r="G30" s="5" t="s">
        <v>166</v>
      </c>
      <c r="H30" s="5"/>
      <c r="I30" s="1" t="s">
        <v>167</v>
      </c>
      <c r="J30" s="7">
        <f>IF('[1]Personale di appoggio'!J31="X",1,0)</f>
        <v>0</v>
      </c>
      <c r="K30" s="7">
        <f>IF('[1]Personale di appoggio'!K31="X",1,0)</f>
        <v>0</v>
      </c>
      <c r="L30" s="7">
        <f>IF('[1]Personale di appoggio'!L31="X",1,0)</f>
        <v>0</v>
      </c>
      <c r="M30" s="7">
        <f>IF('[1]Personale di appoggio'!M31="X",1,0)</f>
        <v>0</v>
      </c>
      <c r="N30" s="10"/>
      <c r="O30" s="10"/>
      <c r="P30" s="11" t="str">
        <f>IF('[1]Personale di appoggio'!$P31="","",'[1]Personale di appoggio'!$P31)</f>
        <v/>
      </c>
      <c r="Q30" s="4" t="s">
        <v>6</v>
      </c>
      <c r="R30" s="4">
        <f t="shared" si="0"/>
        <v>4</v>
      </c>
    </row>
    <row r="31" spans="1:18" ht="31.5" x14ac:dyDescent="0.45">
      <c r="A31" s="9">
        <v>31</v>
      </c>
      <c r="B31" s="2" t="s">
        <v>168</v>
      </c>
      <c r="C31" s="3" t="s">
        <v>169</v>
      </c>
      <c r="D31" s="3" t="s">
        <v>170</v>
      </c>
      <c r="E31" s="4">
        <f>IFERROR(INDEX([1]uot!$A$2:$A$40, MATCH("*"&amp;'[1]Personale di appoggio'!$D32&amp;"*", [1]uot!$B$2:$B$40, 0)), "Valore non trovato")</f>
        <v>4</v>
      </c>
      <c r="F31" s="4">
        <f>IF(TRIM('[1]Personale di appoggio'!$F32)=TRIM([1]qualifiche!$E$2),[1]qualifiche!$D$2,
IF(TRIM('[1]Personale di appoggio'!$F32)=TRIM([1]qualifiche!$E$3),[1]qualifiche!$D$3,
IF(TRIM('[1]Personale di appoggio'!$F32)=TRIM([1]qualifiche!$E$4),[1]qualifiche!$D$4,
IF(TRIM('[1]Personale di appoggio'!$F32)=TRIM([1]qualifiche!$E$5),[1]qualifiche!$D$5,
IF(TRIM('[1]Personale di appoggio'!$F32)=TRIM([1]qualifiche!$E$6),[1]qualifiche!$D$6,
IF(TRIM('[1]Personale di appoggio'!$F32)=TRIM([1]qualifiche!$E$7),[1]qualifiche!$D$7,
IF(TRIM('[1]Personale di appoggio'!$F32)=TRIM([1]qualifiche!$E$8),[1]qualifiche!$D$8,
IF(TRIM('[1]Personale di appoggio'!$F32)=TRIM([1]qualifiche!$E$9),[1]qualifiche!$D$9,
IF(TRIM('[1]Personale di appoggio'!$F32)=TRIM([1]qualifiche!$E$10),[1]qualifiche!$D$10,
IF(TRIM('[1]Personale di appoggio'!$F32)=TRIM([1]qualifiche!$E$11),[1]qualifiche!$D$11,""))))))))))</f>
        <v>9</v>
      </c>
      <c r="G31" s="5" t="s">
        <v>171</v>
      </c>
      <c r="H31" s="5" t="s">
        <v>172</v>
      </c>
      <c r="I31" s="6" t="s">
        <v>173</v>
      </c>
      <c r="J31" s="7">
        <f>IF('[1]Personale di appoggio'!J32="X",1,0)</f>
        <v>0</v>
      </c>
      <c r="K31" s="7">
        <f>IF('[1]Personale di appoggio'!K32="X",1,0)</f>
        <v>0</v>
      </c>
      <c r="L31" s="7">
        <f>IF('[1]Personale di appoggio'!L32="X",1,0)</f>
        <v>0</v>
      </c>
      <c r="M31" s="7">
        <f>IF('[1]Personale di appoggio'!M32="X",1,0)</f>
        <v>0</v>
      </c>
      <c r="N31" s="3"/>
      <c r="O31" s="3"/>
      <c r="P31" s="11" t="str">
        <f>IF('[1]Personale di appoggio'!$P32="","",'[1]Personale di appoggio'!$P32)</f>
        <v/>
      </c>
      <c r="Q31" s="4" t="s">
        <v>6</v>
      </c>
      <c r="R31" s="4">
        <f t="shared" si="0"/>
        <v>4</v>
      </c>
    </row>
    <row r="32" spans="1:18" ht="31.5" x14ac:dyDescent="0.45">
      <c r="A32" s="9">
        <v>32</v>
      </c>
      <c r="B32" s="2" t="s">
        <v>174</v>
      </c>
      <c r="C32" s="3" t="s">
        <v>175</v>
      </c>
      <c r="D32" s="3" t="s">
        <v>15</v>
      </c>
      <c r="E32" s="4">
        <f>IFERROR(INDEX([1]uot!$A$2:$A$40, MATCH("*"&amp;'[1]Personale di appoggio'!$D33&amp;"*", [1]uot!$B$2:$B$40, 0)), "Valore non trovato")</f>
        <v>27</v>
      </c>
      <c r="F32" s="4">
        <f>IF(TRIM('[1]Personale di appoggio'!$F33)=TRIM([1]qualifiche!$E$2),[1]qualifiche!$D$2,
IF(TRIM('[1]Personale di appoggio'!$F33)=TRIM([1]qualifiche!$E$3),[1]qualifiche!$D$3,
IF(TRIM('[1]Personale di appoggio'!$F33)=TRIM([1]qualifiche!$E$4),[1]qualifiche!$D$4,
IF(TRIM('[1]Personale di appoggio'!$F33)=TRIM([1]qualifiche!$E$5),[1]qualifiche!$D$5,
IF(TRIM('[1]Personale di appoggio'!$F33)=TRIM([1]qualifiche!$E$6),[1]qualifiche!$D$6,
IF(TRIM('[1]Personale di appoggio'!$F33)=TRIM([1]qualifiche!$E$7),[1]qualifiche!$D$7,
IF(TRIM('[1]Personale di appoggio'!$F33)=TRIM([1]qualifiche!$E$8),[1]qualifiche!$D$8,
IF(TRIM('[1]Personale di appoggio'!$F33)=TRIM([1]qualifiche!$E$9),[1]qualifiche!$D$9,
IF(TRIM('[1]Personale di appoggio'!$F33)=TRIM([1]qualifiche!$E$10),[1]qualifiche!$D$10,
IF(TRIM('[1]Personale di appoggio'!$F33)=TRIM([1]qualifiche!$E$11),[1]qualifiche!$D$11,""))))))))))</f>
        <v>1</v>
      </c>
      <c r="G32" s="5" t="s">
        <v>176</v>
      </c>
      <c r="H32" s="5" t="s">
        <v>177</v>
      </c>
      <c r="I32" s="6" t="s">
        <v>178</v>
      </c>
      <c r="J32" s="7">
        <f>IF('[1]Personale di appoggio'!J33="X",1,0)</f>
        <v>1</v>
      </c>
      <c r="K32" s="7">
        <f>IF('[1]Personale di appoggio'!K33="X",1,0)</f>
        <v>1</v>
      </c>
      <c r="L32" s="7">
        <f>IF('[1]Personale di appoggio'!L33="X",1,0)</f>
        <v>0</v>
      </c>
      <c r="M32" s="7">
        <f>IF('[1]Personale di appoggio'!M33="X",1,0)</f>
        <v>1</v>
      </c>
      <c r="N32" s="3"/>
      <c r="O32" s="3"/>
      <c r="P32" s="11" t="str">
        <f>IF('[1]Personale di appoggio'!$P33="","",'[1]Personale di appoggio'!$P33)</f>
        <v/>
      </c>
      <c r="Q32" s="4" t="s">
        <v>6</v>
      </c>
      <c r="R32" s="4">
        <f t="shared" si="0"/>
        <v>2</v>
      </c>
    </row>
    <row r="33" spans="1:18" ht="31.5" x14ac:dyDescent="0.45">
      <c r="A33" s="9">
        <v>33</v>
      </c>
      <c r="B33" s="2" t="s">
        <v>179</v>
      </c>
      <c r="C33" s="3" t="s">
        <v>180</v>
      </c>
      <c r="D33" s="3" t="s">
        <v>181</v>
      </c>
      <c r="E33" s="4">
        <f>IFERROR(INDEX([1]uot!$A$2:$A$40, MATCH("*"&amp;'[1]Personale di appoggio'!$D34&amp;"*", [1]uot!$B$2:$B$40, 0)), "Valore non trovato")</f>
        <v>27</v>
      </c>
      <c r="F33" s="4">
        <f>IF(TRIM('[1]Personale di appoggio'!$F34)=TRIM([1]qualifiche!$E$2),[1]qualifiche!$D$2,
IF(TRIM('[1]Personale di appoggio'!$F34)=TRIM([1]qualifiche!$E$3),[1]qualifiche!$D$3,
IF(TRIM('[1]Personale di appoggio'!$F34)=TRIM([1]qualifiche!$E$4),[1]qualifiche!$D$4,
IF(TRIM('[1]Personale di appoggio'!$F34)=TRIM([1]qualifiche!$E$5),[1]qualifiche!$D$5,
IF(TRIM('[1]Personale di appoggio'!$F34)=TRIM([1]qualifiche!$E$6),[1]qualifiche!$D$6,
IF(TRIM('[1]Personale di appoggio'!$F34)=TRIM([1]qualifiche!$E$7),[1]qualifiche!$D$7,
IF(TRIM('[1]Personale di appoggio'!$F34)=TRIM([1]qualifiche!$E$8),[1]qualifiche!$D$8,
IF(TRIM('[1]Personale di appoggio'!$F34)=TRIM([1]qualifiche!$E$9),[1]qualifiche!$D$9,
IF(TRIM('[1]Personale di appoggio'!$F34)=TRIM([1]qualifiche!$E$10),[1]qualifiche!$D$10,
IF(TRIM('[1]Personale di appoggio'!$F34)=TRIM([1]qualifiche!$E$11),[1]qualifiche!$D$11,""))))))))))</f>
        <v>2</v>
      </c>
      <c r="G33" s="5" t="s">
        <v>182</v>
      </c>
      <c r="H33" s="5" t="s">
        <v>183</v>
      </c>
      <c r="I33" s="6" t="s">
        <v>184</v>
      </c>
      <c r="J33" s="7">
        <f>IF('[1]Personale di appoggio'!J34="X",1,0)</f>
        <v>0</v>
      </c>
      <c r="K33" s="7">
        <f>IF('[1]Personale di appoggio'!K34="X",1,0)</f>
        <v>1</v>
      </c>
      <c r="L33" s="7">
        <f>IF('[1]Personale di appoggio'!L34="X",1,0)</f>
        <v>0</v>
      </c>
      <c r="M33" s="7">
        <f>IF('[1]Personale di appoggio'!M34="X",1,0)</f>
        <v>0</v>
      </c>
      <c r="N33" s="3"/>
      <c r="O33" s="3"/>
      <c r="P33" s="11" t="str">
        <f>IF('[1]Personale di appoggio'!$P34="","",'[1]Personale di appoggio'!$P34)</f>
        <v/>
      </c>
      <c r="Q33" s="4" t="s">
        <v>6</v>
      </c>
      <c r="R33" s="4">
        <f t="shared" si="0"/>
        <v>2</v>
      </c>
    </row>
    <row r="34" spans="1:18" ht="110.25" x14ac:dyDescent="0.45">
      <c r="A34" s="9">
        <v>34</v>
      </c>
      <c r="B34" s="2" t="s">
        <v>185</v>
      </c>
      <c r="C34" s="3" t="s">
        <v>186</v>
      </c>
      <c r="D34" s="3" t="s">
        <v>187</v>
      </c>
      <c r="E34" s="4">
        <f>IFERROR(INDEX([1]uot!$A$2:$A$40, MATCH("*"&amp;'[1]Personale di appoggio'!$D35&amp;"*", [1]uot!$B$2:$B$40, 0)), "Valore non trovato")</f>
        <v>27</v>
      </c>
      <c r="F34" s="4">
        <f>IF(TRIM('[1]Personale di appoggio'!$F35)=TRIM([1]qualifiche!$E$2),[1]qualifiche!$D$2,
IF(TRIM('[1]Personale di appoggio'!$F35)=TRIM([1]qualifiche!$E$3),[1]qualifiche!$D$3,
IF(TRIM('[1]Personale di appoggio'!$F35)=TRIM([1]qualifiche!$E$4),[1]qualifiche!$D$4,
IF(TRIM('[1]Personale di appoggio'!$F35)=TRIM([1]qualifiche!$E$5),[1]qualifiche!$D$5,
IF(TRIM('[1]Personale di appoggio'!$F35)=TRIM([1]qualifiche!$E$6),[1]qualifiche!$D$6,
IF(TRIM('[1]Personale di appoggio'!$F35)=TRIM([1]qualifiche!$E$7),[1]qualifiche!$D$7,
IF(TRIM('[1]Personale di appoggio'!$F35)=TRIM([1]qualifiche!$E$8),[1]qualifiche!$D$8,
IF(TRIM('[1]Personale di appoggio'!$F35)=TRIM([1]qualifiche!$E$9),[1]qualifiche!$D$9,
IF(TRIM('[1]Personale di appoggio'!$F35)=TRIM([1]qualifiche!$E$10),[1]qualifiche!$D$10,
IF(TRIM('[1]Personale di appoggio'!$F35)=TRIM([1]qualifiche!$E$11),[1]qualifiche!$D$11,""))))))))))</f>
        <v>2</v>
      </c>
      <c r="G34" s="5" t="s">
        <v>188</v>
      </c>
      <c r="H34" s="5" t="s">
        <v>189</v>
      </c>
      <c r="I34" s="6" t="s">
        <v>190</v>
      </c>
      <c r="J34" s="7">
        <f>IF('[1]Personale di appoggio'!J35="X",1,0)</f>
        <v>1</v>
      </c>
      <c r="K34" s="7">
        <f>IF('[1]Personale di appoggio'!K35="X",1,0)</f>
        <v>0</v>
      </c>
      <c r="L34" s="7">
        <f>IF('[1]Personale di appoggio'!L35="X",1,0)</f>
        <v>1</v>
      </c>
      <c r="M34" s="7">
        <f>IF('[1]Personale di appoggio'!M35="X",1,0)</f>
        <v>0</v>
      </c>
      <c r="N34" s="3"/>
      <c r="O34" s="3"/>
      <c r="P34" s="11" t="str">
        <f>IF('[1]Personale di appoggio'!$P35="","",'[1]Personale di appoggio'!$P35)</f>
        <v>Possiede anche la competenza data dal Art. 6 DM 329/04</v>
      </c>
      <c r="Q34" s="4" t="s">
        <v>6</v>
      </c>
      <c r="R34" s="4">
        <f t="shared" si="0"/>
        <v>2</v>
      </c>
    </row>
    <row r="35" spans="1:18" ht="110.25" x14ac:dyDescent="0.45">
      <c r="A35" s="9">
        <v>35</v>
      </c>
      <c r="B35" s="2" t="s">
        <v>191</v>
      </c>
      <c r="C35" s="3" t="s">
        <v>192</v>
      </c>
      <c r="D35" s="3" t="s">
        <v>193</v>
      </c>
      <c r="E35" s="4">
        <f>IFERROR(INDEX([1]uot!$A$2:$A$40, MATCH("*"&amp;'[1]Personale di appoggio'!$D36&amp;"*", [1]uot!$B$2:$B$40, 0)), "Valore non trovato")</f>
        <v>27</v>
      </c>
      <c r="F35" s="4">
        <f>IF(TRIM('[1]Personale di appoggio'!$F36)=TRIM([1]qualifiche!$E$2),[1]qualifiche!$D$2,
IF(TRIM('[1]Personale di appoggio'!$F36)=TRIM([1]qualifiche!$E$3),[1]qualifiche!$D$3,
IF(TRIM('[1]Personale di appoggio'!$F36)=TRIM([1]qualifiche!$E$4),[1]qualifiche!$D$4,
IF(TRIM('[1]Personale di appoggio'!$F36)=TRIM([1]qualifiche!$E$5),[1]qualifiche!$D$5,
IF(TRIM('[1]Personale di appoggio'!$F36)=TRIM([1]qualifiche!$E$6),[1]qualifiche!$D$6,
IF(TRIM('[1]Personale di appoggio'!$F36)=TRIM([1]qualifiche!$E$7),[1]qualifiche!$D$7,
IF(TRIM('[1]Personale di appoggio'!$F36)=TRIM([1]qualifiche!$E$8),[1]qualifiche!$D$8,
IF(TRIM('[1]Personale di appoggio'!$F36)=TRIM([1]qualifiche!$E$9),[1]qualifiche!$D$9,
IF(TRIM('[1]Personale di appoggio'!$F36)=TRIM([1]qualifiche!$E$10),[1]qualifiche!$D$10,
IF(TRIM('[1]Personale di appoggio'!$F36)=TRIM([1]qualifiche!$E$11),[1]qualifiche!$D$11,""))))))))))</f>
        <v>2</v>
      </c>
      <c r="G35" s="5" t="s">
        <v>194</v>
      </c>
      <c r="H35" s="5" t="s">
        <v>195</v>
      </c>
      <c r="I35" s="6" t="s">
        <v>196</v>
      </c>
      <c r="J35" s="7">
        <f>IF('[1]Personale di appoggio'!J36="X",1,0)</f>
        <v>0</v>
      </c>
      <c r="K35" s="7">
        <f>IF('[1]Personale di appoggio'!K36="X",1,0)</f>
        <v>1</v>
      </c>
      <c r="L35" s="7">
        <f>IF('[1]Personale di appoggio'!L36="X",1,0)</f>
        <v>0</v>
      </c>
      <c r="M35" s="7">
        <f>IF('[1]Personale di appoggio'!M36="X",1,0)</f>
        <v>0</v>
      </c>
      <c r="N35" s="3"/>
      <c r="O35" s="3"/>
      <c r="P35" s="11" t="str">
        <f>IF('[1]Personale di appoggio'!$P36="","",'[1]Personale di appoggio'!$P36)</f>
        <v>Possiede anche la competenza data dal Art. 6 DM 329/04</v>
      </c>
      <c r="Q35" s="4" t="s">
        <v>6</v>
      </c>
      <c r="R35" s="4">
        <f t="shared" si="0"/>
        <v>2</v>
      </c>
    </row>
    <row r="36" spans="1:18" ht="110.25" x14ac:dyDescent="0.45">
      <c r="A36" s="9">
        <v>36</v>
      </c>
      <c r="B36" s="2" t="s">
        <v>197</v>
      </c>
      <c r="C36" s="3" t="s">
        <v>198</v>
      </c>
      <c r="D36" s="3" t="s">
        <v>199</v>
      </c>
      <c r="E36" s="4">
        <f>IFERROR(INDEX([1]uot!$A$2:$A$40, MATCH("*"&amp;'[1]Personale di appoggio'!$D37&amp;"*", [1]uot!$B$2:$B$40, 0)), "Valore non trovato")</f>
        <v>27</v>
      </c>
      <c r="F36" s="4">
        <f>IF(TRIM('[1]Personale di appoggio'!$F37)=TRIM([1]qualifiche!$E$2),[1]qualifiche!$D$2,
IF(TRIM('[1]Personale di appoggio'!$F37)=TRIM([1]qualifiche!$E$3),[1]qualifiche!$D$3,
IF(TRIM('[1]Personale di appoggio'!$F37)=TRIM([1]qualifiche!$E$4),[1]qualifiche!$D$4,
IF(TRIM('[1]Personale di appoggio'!$F37)=TRIM([1]qualifiche!$E$5),[1]qualifiche!$D$5,
IF(TRIM('[1]Personale di appoggio'!$F37)=TRIM([1]qualifiche!$E$6),[1]qualifiche!$D$6,
IF(TRIM('[1]Personale di appoggio'!$F37)=TRIM([1]qualifiche!$E$7),[1]qualifiche!$D$7,
IF(TRIM('[1]Personale di appoggio'!$F37)=TRIM([1]qualifiche!$E$8),[1]qualifiche!$D$8,
IF(TRIM('[1]Personale di appoggio'!$F37)=TRIM([1]qualifiche!$E$9),[1]qualifiche!$D$9,
IF(TRIM('[1]Personale di appoggio'!$F37)=TRIM([1]qualifiche!$E$10),[1]qualifiche!$D$10,
IF(TRIM('[1]Personale di appoggio'!$F37)=TRIM([1]qualifiche!$E$11),[1]qualifiche!$D$11,""))))))))))</f>
        <v>2</v>
      </c>
      <c r="G36" s="5" t="s">
        <v>200</v>
      </c>
      <c r="H36" s="5" t="s">
        <v>201</v>
      </c>
      <c r="I36" s="6" t="s">
        <v>202</v>
      </c>
      <c r="J36" s="7">
        <f>IF('[1]Personale di appoggio'!J37="X",1,0)</f>
        <v>1</v>
      </c>
      <c r="K36" s="7">
        <f>IF('[1]Personale di appoggio'!K37="X",1,0)</f>
        <v>1</v>
      </c>
      <c r="L36" s="7">
        <f>IF('[1]Personale di appoggio'!L37="X",1,0)</f>
        <v>1</v>
      </c>
      <c r="M36" s="7">
        <f>IF('[1]Personale di appoggio'!M37="X",1,0)</f>
        <v>0</v>
      </c>
      <c r="N36" s="3"/>
      <c r="O36" s="3"/>
      <c r="P36" s="11" t="str">
        <f>IF('[1]Personale di appoggio'!$P37="","",'[1]Personale di appoggio'!$P37)</f>
        <v>Possiede anche la competenza data dal Art. 6 DM 329/04</v>
      </c>
      <c r="Q36" s="4" t="s">
        <v>6</v>
      </c>
      <c r="R36" s="4">
        <f t="shared" si="0"/>
        <v>2</v>
      </c>
    </row>
    <row r="37" spans="1:18" ht="110.25" x14ac:dyDescent="0.45">
      <c r="A37" s="9">
        <v>37</v>
      </c>
      <c r="B37" s="2" t="s">
        <v>203</v>
      </c>
      <c r="C37" s="3" t="s">
        <v>204</v>
      </c>
      <c r="D37" s="3" t="s">
        <v>205</v>
      </c>
      <c r="E37" s="4">
        <f>IFERROR(INDEX([1]uot!$A$2:$A$40, MATCH("*"&amp;'[1]Personale di appoggio'!$D38&amp;"*", [1]uot!$B$2:$B$40, 0)), "Valore non trovato")</f>
        <v>27</v>
      </c>
      <c r="F37" s="4">
        <f>IF(TRIM('[1]Personale di appoggio'!$F38)=TRIM([1]qualifiche!$E$2),[1]qualifiche!$D$2,
IF(TRIM('[1]Personale di appoggio'!$F38)=TRIM([1]qualifiche!$E$3),[1]qualifiche!$D$3,
IF(TRIM('[1]Personale di appoggio'!$F38)=TRIM([1]qualifiche!$E$4),[1]qualifiche!$D$4,
IF(TRIM('[1]Personale di appoggio'!$F38)=TRIM([1]qualifiche!$E$5),[1]qualifiche!$D$5,
IF(TRIM('[1]Personale di appoggio'!$F38)=TRIM([1]qualifiche!$E$6),[1]qualifiche!$D$6,
IF(TRIM('[1]Personale di appoggio'!$F38)=TRIM([1]qualifiche!$E$7),[1]qualifiche!$D$7,
IF(TRIM('[1]Personale di appoggio'!$F38)=TRIM([1]qualifiche!$E$8),[1]qualifiche!$D$8,
IF(TRIM('[1]Personale di appoggio'!$F38)=TRIM([1]qualifiche!$E$9),[1]qualifiche!$D$9,
IF(TRIM('[1]Personale di appoggio'!$F38)=TRIM([1]qualifiche!$E$10),[1]qualifiche!$D$10,
IF(TRIM('[1]Personale di appoggio'!$F38)=TRIM([1]qualifiche!$E$11),[1]qualifiche!$D$11,""))))))))))</f>
        <v>2</v>
      </c>
      <c r="G37" s="5" t="s">
        <v>206</v>
      </c>
      <c r="H37" s="5" t="s">
        <v>207</v>
      </c>
      <c r="I37" s="6" t="s">
        <v>208</v>
      </c>
      <c r="J37" s="7">
        <f>IF('[1]Personale di appoggio'!J38="X",1,0)</f>
        <v>0</v>
      </c>
      <c r="K37" s="7">
        <f>IF('[1]Personale di appoggio'!K38="X",1,0)</f>
        <v>1</v>
      </c>
      <c r="L37" s="7">
        <f>IF('[1]Personale di appoggio'!L38="X",1,0)</f>
        <v>0</v>
      </c>
      <c r="M37" s="7">
        <f>IF('[1]Personale di appoggio'!M38="X",1,0)</f>
        <v>0</v>
      </c>
      <c r="N37" s="3"/>
      <c r="O37" s="3"/>
      <c r="P37" s="11" t="str">
        <f>IF('[1]Personale di appoggio'!$P38="","",'[1]Personale di appoggio'!$P38)</f>
        <v>Possiede anche la competenza data dal Art. 6 DM 329/04</v>
      </c>
      <c r="Q37" s="4" t="s">
        <v>6</v>
      </c>
      <c r="R37" s="4">
        <f t="shared" si="0"/>
        <v>2</v>
      </c>
    </row>
    <row r="38" spans="1:18" ht="110.25" x14ac:dyDescent="0.45">
      <c r="A38" s="9">
        <v>38</v>
      </c>
      <c r="B38" s="2" t="s">
        <v>209</v>
      </c>
      <c r="C38" s="3" t="s">
        <v>210</v>
      </c>
      <c r="D38" s="3" t="s">
        <v>211</v>
      </c>
      <c r="E38" s="4">
        <f>IFERROR(INDEX([1]uot!$A$2:$A$40, MATCH("*"&amp;'[1]Personale di appoggio'!$D39&amp;"*", [1]uot!$B$2:$B$40, 0)), "Valore non trovato")</f>
        <v>27</v>
      </c>
      <c r="F38" s="4">
        <f>IF(TRIM('[1]Personale di appoggio'!$F39)=TRIM([1]qualifiche!$E$2),[1]qualifiche!$D$2,
IF(TRIM('[1]Personale di appoggio'!$F39)=TRIM([1]qualifiche!$E$3),[1]qualifiche!$D$3,
IF(TRIM('[1]Personale di appoggio'!$F39)=TRIM([1]qualifiche!$E$4),[1]qualifiche!$D$4,
IF(TRIM('[1]Personale di appoggio'!$F39)=TRIM([1]qualifiche!$E$5),[1]qualifiche!$D$5,
IF(TRIM('[1]Personale di appoggio'!$F39)=TRIM([1]qualifiche!$E$6),[1]qualifiche!$D$6,
IF(TRIM('[1]Personale di appoggio'!$F39)=TRIM([1]qualifiche!$E$7),[1]qualifiche!$D$7,
IF(TRIM('[1]Personale di appoggio'!$F39)=TRIM([1]qualifiche!$E$8),[1]qualifiche!$D$8,
IF(TRIM('[1]Personale di appoggio'!$F39)=TRIM([1]qualifiche!$E$9),[1]qualifiche!$D$9,
IF(TRIM('[1]Personale di appoggio'!$F39)=TRIM([1]qualifiche!$E$10),[1]qualifiche!$D$10,
IF(TRIM('[1]Personale di appoggio'!$F39)=TRIM([1]qualifiche!$E$11),[1]qualifiche!$D$11,""))))))))))</f>
        <v>3</v>
      </c>
      <c r="G38" s="5" t="s">
        <v>212</v>
      </c>
      <c r="H38" s="5"/>
      <c r="I38" s="6" t="s">
        <v>213</v>
      </c>
      <c r="J38" s="7">
        <f>IF('[1]Personale di appoggio'!J39="X",1,0)</f>
        <v>1</v>
      </c>
      <c r="K38" s="7">
        <f>IF('[1]Personale di appoggio'!K39="X",1,0)</f>
        <v>0</v>
      </c>
      <c r="L38" s="7">
        <f>IF('[1]Personale di appoggio'!L39="X",1,0)</f>
        <v>0</v>
      </c>
      <c r="M38" s="7">
        <f>IF('[1]Personale di appoggio'!M39="X",1,0)</f>
        <v>0</v>
      </c>
      <c r="N38" s="3"/>
      <c r="O38" s="3"/>
      <c r="P38" s="11" t="str">
        <f>IF('[1]Personale di appoggio'!$P39="","",'[1]Personale di appoggio'!$P39)</f>
        <v>Possiede anche la competenza data dal Art. 6 DM 329/04</v>
      </c>
      <c r="Q38" s="4" t="s">
        <v>6</v>
      </c>
      <c r="R38" s="4">
        <f t="shared" si="0"/>
        <v>2</v>
      </c>
    </row>
    <row r="39" spans="1:18" ht="31.5" x14ac:dyDescent="0.45">
      <c r="A39" s="9">
        <v>39</v>
      </c>
      <c r="B39" s="2" t="s">
        <v>214</v>
      </c>
      <c r="C39" s="3" t="s">
        <v>215</v>
      </c>
      <c r="D39" s="3" t="s">
        <v>216</v>
      </c>
      <c r="E39" s="4">
        <f>IFERROR(INDEX([1]uot!$A$2:$A$40, MATCH("*"&amp;'[1]Personale di appoggio'!$D40&amp;"*", [1]uot!$B$2:$B$40, 0)), "Valore non trovato")</f>
        <v>27</v>
      </c>
      <c r="F39" s="4">
        <f>IF(TRIM('[1]Personale di appoggio'!$F40)=TRIM([1]qualifiche!$E$2),[1]qualifiche!$D$2,
IF(TRIM('[1]Personale di appoggio'!$F40)=TRIM([1]qualifiche!$E$3),[1]qualifiche!$D$3,
IF(TRIM('[1]Personale di appoggio'!$F40)=TRIM([1]qualifiche!$E$4),[1]qualifiche!$D$4,
IF(TRIM('[1]Personale di appoggio'!$F40)=TRIM([1]qualifiche!$E$5),[1]qualifiche!$D$5,
IF(TRIM('[1]Personale di appoggio'!$F40)=TRIM([1]qualifiche!$E$6),[1]qualifiche!$D$6,
IF(TRIM('[1]Personale di appoggio'!$F40)=TRIM([1]qualifiche!$E$7),[1]qualifiche!$D$7,
IF(TRIM('[1]Personale di appoggio'!$F40)=TRIM([1]qualifiche!$E$8),[1]qualifiche!$D$8,
IF(TRIM('[1]Personale di appoggio'!$F40)=TRIM([1]qualifiche!$E$9),[1]qualifiche!$D$9,
IF(TRIM('[1]Personale di appoggio'!$F40)=TRIM([1]qualifiche!$E$10),[1]qualifiche!$D$10,
IF(TRIM('[1]Personale di appoggio'!$F40)=TRIM([1]qualifiche!$E$11),[1]qualifiche!$D$11,""))))))))))</f>
        <v>5</v>
      </c>
      <c r="G39" s="5" t="s">
        <v>217</v>
      </c>
      <c r="H39" s="5" t="s">
        <v>218</v>
      </c>
      <c r="I39" s="6" t="s">
        <v>219</v>
      </c>
      <c r="J39" s="7">
        <f>IF('[1]Personale di appoggio'!J40="X",1,0)</f>
        <v>0</v>
      </c>
      <c r="K39" s="7">
        <f>IF('[1]Personale di appoggio'!K40="X",1,0)</f>
        <v>0</v>
      </c>
      <c r="L39" s="7">
        <f>IF('[1]Personale di appoggio'!L40="X",1,0)</f>
        <v>0</v>
      </c>
      <c r="M39" s="7">
        <f>IF('[1]Personale di appoggio'!M40="X",1,0)</f>
        <v>0</v>
      </c>
      <c r="N39" s="3"/>
      <c r="O39" s="3"/>
      <c r="P39" s="11" t="str">
        <f>IF('[1]Personale di appoggio'!$P40="","",'[1]Personale di appoggio'!$P40)</f>
        <v/>
      </c>
      <c r="Q39" s="4" t="s">
        <v>6</v>
      </c>
      <c r="R39" s="4">
        <f t="shared" si="0"/>
        <v>4</v>
      </c>
    </row>
    <row r="40" spans="1:18" ht="31.5" x14ac:dyDescent="0.45">
      <c r="A40" s="9">
        <v>40</v>
      </c>
      <c r="B40" s="2" t="s">
        <v>220</v>
      </c>
      <c r="C40" s="3" t="s">
        <v>221</v>
      </c>
      <c r="D40" s="3" t="s">
        <v>222</v>
      </c>
      <c r="E40" s="4">
        <f>IFERROR(INDEX([1]uot!$A$2:$A$40, MATCH("*"&amp;'[1]Personale di appoggio'!$D41&amp;"*", [1]uot!$B$2:$B$40, 0)), "Valore non trovato")</f>
        <v>27</v>
      </c>
      <c r="F40" s="4">
        <f>IF(TRIM('[1]Personale di appoggio'!$F41)=TRIM([1]qualifiche!$E$2),[1]qualifiche!$D$2,
IF(TRIM('[1]Personale di appoggio'!$F41)=TRIM([1]qualifiche!$E$3),[1]qualifiche!$D$3,
IF(TRIM('[1]Personale di appoggio'!$F41)=TRIM([1]qualifiche!$E$4),[1]qualifiche!$D$4,
IF(TRIM('[1]Personale di appoggio'!$F41)=TRIM([1]qualifiche!$E$5),[1]qualifiche!$D$5,
IF(TRIM('[1]Personale di appoggio'!$F41)=TRIM([1]qualifiche!$E$6),[1]qualifiche!$D$6,
IF(TRIM('[1]Personale di appoggio'!$F41)=TRIM([1]qualifiche!$E$7),[1]qualifiche!$D$7,
IF(TRIM('[1]Personale di appoggio'!$F41)=TRIM([1]qualifiche!$E$8),[1]qualifiche!$D$8,
IF(TRIM('[1]Personale di appoggio'!$F41)=TRIM([1]qualifiche!$E$9),[1]qualifiche!$D$9,
IF(TRIM('[1]Personale di appoggio'!$F41)=TRIM([1]qualifiche!$E$10),[1]qualifiche!$D$10,
IF(TRIM('[1]Personale di appoggio'!$F41)=TRIM([1]qualifiche!$E$11),[1]qualifiche!$D$11,""))))))))))</f>
        <v>4</v>
      </c>
      <c r="G40" s="5" t="s">
        <v>223</v>
      </c>
      <c r="H40" s="5" t="s">
        <v>224</v>
      </c>
      <c r="I40" s="6" t="s">
        <v>225</v>
      </c>
      <c r="J40" s="7">
        <f>IF('[1]Personale di appoggio'!J41="X",1,0)</f>
        <v>0</v>
      </c>
      <c r="K40" s="7">
        <f>IF('[1]Personale di appoggio'!K41="X",1,0)</f>
        <v>1</v>
      </c>
      <c r="L40" s="7">
        <f>IF('[1]Personale di appoggio'!L41="X",1,0)</f>
        <v>1</v>
      </c>
      <c r="M40" s="7">
        <f>IF('[1]Personale di appoggio'!M41="X",1,0)</f>
        <v>0</v>
      </c>
      <c r="N40" s="3"/>
      <c r="O40" s="3"/>
      <c r="P40" s="11" t="str">
        <f>IF('[1]Personale di appoggio'!$P41="","",'[1]Personale di appoggio'!$P41)</f>
        <v/>
      </c>
      <c r="Q40" s="4" t="s">
        <v>6</v>
      </c>
      <c r="R40" s="4">
        <f t="shared" si="0"/>
        <v>2</v>
      </c>
    </row>
    <row r="41" spans="1:18" ht="31.5" x14ac:dyDescent="0.45">
      <c r="A41" s="9">
        <v>41</v>
      </c>
      <c r="B41" s="2" t="s">
        <v>226</v>
      </c>
      <c r="C41" s="3" t="s">
        <v>227</v>
      </c>
      <c r="D41" s="3" t="s">
        <v>228</v>
      </c>
      <c r="E41" s="4">
        <f>IFERROR(INDEX([1]uot!$A$2:$A$40, MATCH("*"&amp;'[1]Personale di appoggio'!$D42&amp;"*", [1]uot!$B$2:$B$40, 0)), "Valore non trovato")</f>
        <v>27</v>
      </c>
      <c r="F41" s="4">
        <f>IF(TRIM('[1]Personale di appoggio'!$F42)=TRIM([1]qualifiche!$E$2),[1]qualifiche!$D$2,
IF(TRIM('[1]Personale di appoggio'!$F42)=TRIM([1]qualifiche!$E$3),[1]qualifiche!$D$3,
IF(TRIM('[1]Personale di appoggio'!$F42)=TRIM([1]qualifiche!$E$4),[1]qualifiche!$D$4,
IF(TRIM('[1]Personale di appoggio'!$F42)=TRIM([1]qualifiche!$E$5),[1]qualifiche!$D$5,
IF(TRIM('[1]Personale di appoggio'!$F42)=TRIM([1]qualifiche!$E$6),[1]qualifiche!$D$6,
IF(TRIM('[1]Personale di appoggio'!$F42)=TRIM([1]qualifiche!$E$7),[1]qualifiche!$D$7,
IF(TRIM('[1]Personale di appoggio'!$F42)=TRIM([1]qualifiche!$E$8),[1]qualifiche!$D$8,
IF(TRIM('[1]Personale di appoggio'!$F42)=TRIM([1]qualifiche!$E$9),[1]qualifiche!$D$9,
IF(TRIM('[1]Personale di appoggio'!$F42)=TRIM([1]qualifiche!$E$10),[1]qualifiche!$D$10,
IF(TRIM('[1]Personale di appoggio'!$F42)=TRIM([1]qualifiche!$E$11),[1]qualifiche!$D$11,""))))))))))</f>
        <v>4</v>
      </c>
      <c r="G41" s="5" t="s">
        <v>229</v>
      </c>
      <c r="H41" s="5" t="s">
        <v>230</v>
      </c>
      <c r="I41" s="6" t="s">
        <v>231</v>
      </c>
      <c r="J41" s="7">
        <f>IF('[1]Personale di appoggio'!J42="X",1,0)</f>
        <v>0</v>
      </c>
      <c r="K41" s="7">
        <f>IF('[1]Personale di appoggio'!K42="X",1,0)</f>
        <v>1</v>
      </c>
      <c r="L41" s="7">
        <f>IF('[1]Personale di appoggio'!L42="X",1,0)</f>
        <v>1</v>
      </c>
      <c r="M41" s="7">
        <f>IF('[1]Personale di appoggio'!M42="X",1,0)</f>
        <v>0</v>
      </c>
      <c r="N41" s="3"/>
      <c r="O41" s="3"/>
      <c r="P41" s="11" t="str">
        <f>IF('[1]Personale di appoggio'!$P42="","",'[1]Personale di appoggio'!$P42)</f>
        <v/>
      </c>
      <c r="Q41" s="4" t="s">
        <v>6</v>
      </c>
      <c r="R41" s="4">
        <f t="shared" si="0"/>
        <v>2</v>
      </c>
    </row>
    <row r="42" spans="1:18" ht="31.5" x14ac:dyDescent="0.45">
      <c r="A42" s="9">
        <v>42</v>
      </c>
      <c r="B42" s="2" t="s">
        <v>232</v>
      </c>
      <c r="C42" s="3" t="s">
        <v>233</v>
      </c>
      <c r="D42" s="3" t="s">
        <v>234</v>
      </c>
      <c r="E42" s="4">
        <f>IFERROR(INDEX([1]uot!$A$2:$A$40, MATCH("*"&amp;'[1]Personale di appoggio'!$D43&amp;"*", [1]uot!$B$2:$B$40, 0)), "Valore non trovato")</f>
        <v>27</v>
      </c>
      <c r="F42" s="4">
        <f>IF(TRIM('[1]Personale di appoggio'!$F43)=TRIM([1]qualifiche!$E$2),[1]qualifiche!$D$2,
IF(TRIM('[1]Personale di appoggio'!$F43)=TRIM([1]qualifiche!$E$3),[1]qualifiche!$D$3,
IF(TRIM('[1]Personale di appoggio'!$F43)=TRIM([1]qualifiche!$E$4),[1]qualifiche!$D$4,
IF(TRIM('[1]Personale di appoggio'!$F43)=TRIM([1]qualifiche!$E$5),[1]qualifiche!$D$5,
IF(TRIM('[1]Personale di appoggio'!$F43)=TRIM([1]qualifiche!$E$6),[1]qualifiche!$D$6,
IF(TRIM('[1]Personale di appoggio'!$F43)=TRIM([1]qualifiche!$E$7),[1]qualifiche!$D$7,
IF(TRIM('[1]Personale di appoggio'!$F43)=TRIM([1]qualifiche!$E$8),[1]qualifiche!$D$8,
IF(TRIM('[1]Personale di appoggio'!$F43)=TRIM([1]qualifiche!$E$9),[1]qualifiche!$D$9,
IF(TRIM('[1]Personale di appoggio'!$F43)=TRIM([1]qualifiche!$E$10),[1]qualifiche!$D$10,
IF(TRIM('[1]Personale di appoggio'!$F43)=TRIM([1]qualifiche!$E$11),[1]qualifiche!$D$11,""))))))))))</f>
        <v>7</v>
      </c>
      <c r="G42" s="5" t="s">
        <v>235</v>
      </c>
      <c r="H42" s="5" t="s">
        <v>236</v>
      </c>
      <c r="I42" s="6" t="s">
        <v>237</v>
      </c>
      <c r="J42" s="7">
        <f>IF('[1]Personale di appoggio'!J43="X",1,0)</f>
        <v>0</v>
      </c>
      <c r="K42" s="7">
        <f>IF('[1]Personale di appoggio'!K43="X",1,0)</f>
        <v>0</v>
      </c>
      <c r="L42" s="7">
        <f>IF('[1]Personale di appoggio'!L43="X",1,0)</f>
        <v>0</v>
      </c>
      <c r="M42" s="7">
        <f>IF('[1]Personale di appoggio'!M43="X",1,0)</f>
        <v>0</v>
      </c>
      <c r="N42" s="3"/>
      <c r="O42" s="3"/>
      <c r="P42" s="11" t="str">
        <f>IF('[1]Personale di appoggio'!$P43="","",'[1]Personale di appoggio'!$P43)</f>
        <v/>
      </c>
      <c r="Q42" s="4" t="s">
        <v>6</v>
      </c>
      <c r="R42" s="4">
        <f t="shared" si="0"/>
        <v>4</v>
      </c>
    </row>
    <row r="43" spans="1:18" ht="31.5" x14ac:dyDescent="0.45">
      <c r="A43" s="9">
        <v>43</v>
      </c>
      <c r="B43" s="2" t="s">
        <v>238</v>
      </c>
      <c r="C43" s="3" t="s">
        <v>239</v>
      </c>
      <c r="D43" s="3" t="s">
        <v>240</v>
      </c>
      <c r="E43" s="4">
        <f>IFERROR(INDEX([1]uot!$A$2:$A$40, MATCH("*"&amp;'[1]Personale di appoggio'!$D44&amp;"*", [1]uot!$B$2:$B$40, 0)), "Valore non trovato")</f>
        <v>27</v>
      </c>
      <c r="F43" s="4">
        <f>IF(TRIM('[1]Personale di appoggio'!$F44)=TRIM([1]qualifiche!$E$2),[1]qualifiche!$D$2,
IF(TRIM('[1]Personale di appoggio'!$F44)=TRIM([1]qualifiche!$E$3),[1]qualifiche!$D$3,
IF(TRIM('[1]Personale di appoggio'!$F44)=TRIM([1]qualifiche!$E$4),[1]qualifiche!$D$4,
IF(TRIM('[1]Personale di appoggio'!$F44)=TRIM([1]qualifiche!$E$5),[1]qualifiche!$D$5,
IF(TRIM('[1]Personale di appoggio'!$F44)=TRIM([1]qualifiche!$E$6),[1]qualifiche!$D$6,
IF(TRIM('[1]Personale di appoggio'!$F44)=TRIM([1]qualifiche!$E$7),[1]qualifiche!$D$7,
IF(TRIM('[1]Personale di appoggio'!$F44)=TRIM([1]qualifiche!$E$8),[1]qualifiche!$D$8,
IF(TRIM('[1]Personale di appoggio'!$F44)=TRIM([1]qualifiche!$E$9),[1]qualifiche!$D$9,
IF(TRIM('[1]Personale di appoggio'!$F44)=TRIM([1]qualifiche!$E$10),[1]qualifiche!$D$10,
IF(TRIM('[1]Personale di appoggio'!$F44)=TRIM([1]qualifiche!$E$11),[1]qualifiche!$D$11,""))))))))))</f>
        <v>7</v>
      </c>
      <c r="G43" s="5" t="s">
        <v>241</v>
      </c>
      <c r="H43" s="5" t="s">
        <v>242</v>
      </c>
      <c r="I43" s="6" t="s">
        <v>243</v>
      </c>
      <c r="J43" s="7">
        <f>IF('[1]Personale di appoggio'!J44="X",1,0)</f>
        <v>0</v>
      </c>
      <c r="K43" s="7">
        <f>IF('[1]Personale di appoggio'!K44="X",1,0)</f>
        <v>0</v>
      </c>
      <c r="L43" s="7">
        <f>IF('[1]Personale di appoggio'!L44="X",1,0)</f>
        <v>0</v>
      </c>
      <c r="M43" s="7">
        <f>IF('[1]Personale di appoggio'!M44="X",1,0)</f>
        <v>0</v>
      </c>
      <c r="N43" s="3"/>
      <c r="O43" s="3"/>
      <c r="P43" s="11" t="str">
        <f>IF('[1]Personale di appoggio'!$P44="","",'[1]Personale di appoggio'!$P44)</f>
        <v/>
      </c>
      <c r="Q43" s="4" t="s">
        <v>6</v>
      </c>
      <c r="R43" s="4">
        <f t="shared" si="0"/>
        <v>4</v>
      </c>
    </row>
    <row r="44" spans="1:18" ht="31.5" x14ac:dyDescent="0.45">
      <c r="A44" s="9">
        <v>44</v>
      </c>
      <c r="B44" s="2" t="s">
        <v>244</v>
      </c>
      <c r="C44" s="3" t="s">
        <v>245</v>
      </c>
      <c r="D44" s="3" t="s">
        <v>181</v>
      </c>
      <c r="E44" s="4">
        <f>IFERROR(INDEX([1]uot!$A$2:$A$40, MATCH("*"&amp;'[1]Personale di appoggio'!$D45&amp;"*", [1]uot!$B$2:$B$40, 0)), "Valore non trovato")</f>
        <v>27</v>
      </c>
      <c r="F44" s="4">
        <f>IF(TRIM('[1]Personale di appoggio'!$F45)=TRIM([1]qualifiche!$E$2),[1]qualifiche!$D$2,
IF(TRIM('[1]Personale di appoggio'!$F45)=TRIM([1]qualifiche!$E$3),[1]qualifiche!$D$3,
IF(TRIM('[1]Personale di appoggio'!$F45)=TRIM([1]qualifiche!$E$4),[1]qualifiche!$D$4,
IF(TRIM('[1]Personale di appoggio'!$F45)=TRIM([1]qualifiche!$E$5),[1]qualifiche!$D$5,
IF(TRIM('[1]Personale di appoggio'!$F45)=TRIM([1]qualifiche!$E$6),[1]qualifiche!$D$6,
IF(TRIM('[1]Personale di appoggio'!$F45)=TRIM([1]qualifiche!$E$7),[1]qualifiche!$D$7,
IF(TRIM('[1]Personale di appoggio'!$F45)=TRIM([1]qualifiche!$E$8),[1]qualifiche!$D$8,
IF(TRIM('[1]Personale di appoggio'!$F45)=TRIM([1]qualifiche!$E$9),[1]qualifiche!$D$9,
IF(TRIM('[1]Personale di appoggio'!$F45)=TRIM([1]qualifiche!$E$10),[1]qualifiche!$D$10,
IF(TRIM('[1]Personale di appoggio'!$F45)=TRIM([1]qualifiche!$E$11),[1]qualifiche!$D$11,""))))))))))</f>
        <v>7</v>
      </c>
      <c r="G44" s="5" t="s">
        <v>246</v>
      </c>
      <c r="H44" s="5" t="s">
        <v>247</v>
      </c>
      <c r="I44" s="6" t="s">
        <v>248</v>
      </c>
      <c r="J44" s="7">
        <f>IF('[1]Personale di appoggio'!J45="X",1,0)</f>
        <v>0</v>
      </c>
      <c r="K44" s="7">
        <f>IF('[1]Personale di appoggio'!K45="X",1,0)</f>
        <v>0</v>
      </c>
      <c r="L44" s="7">
        <f>IF('[1]Personale di appoggio'!L45="X",1,0)</f>
        <v>0</v>
      </c>
      <c r="M44" s="7">
        <f>IF('[1]Personale di appoggio'!M45="X",1,0)</f>
        <v>0</v>
      </c>
      <c r="N44" s="3"/>
      <c r="O44" s="3"/>
      <c r="P44" s="11" t="str">
        <f>IF('[1]Personale di appoggio'!$P45="","",'[1]Personale di appoggio'!$P45)</f>
        <v/>
      </c>
      <c r="Q44" s="4" t="s">
        <v>6</v>
      </c>
      <c r="R44" s="4">
        <f t="shared" si="0"/>
        <v>4</v>
      </c>
    </row>
    <row r="45" spans="1:18" ht="31.5" x14ac:dyDescent="0.45">
      <c r="A45" s="9">
        <v>45</v>
      </c>
      <c r="B45" s="2" t="s">
        <v>249</v>
      </c>
      <c r="C45" s="3" t="s">
        <v>250</v>
      </c>
      <c r="D45" s="3" t="s">
        <v>15</v>
      </c>
      <c r="E45" s="4">
        <f>IFERROR(INDEX([1]uot!$A$2:$A$40, MATCH("*"&amp;'[1]Personale di appoggio'!$D46&amp;"*", [1]uot!$B$2:$B$40, 0)), "Valore non trovato")</f>
        <v>27</v>
      </c>
      <c r="F45" s="4">
        <f>IF(TRIM('[1]Personale di appoggio'!$F46)=TRIM([1]qualifiche!$E$2),[1]qualifiche!$D$2,
IF(TRIM('[1]Personale di appoggio'!$F46)=TRIM([1]qualifiche!$E$3),[1]qualifiche!$D$3,
IF(TRIM('[1]Personale di appoggio'!$F46)=TRIM([1]qualifiche!$E$4),[1]qualifiche!$D$4,
IF(TRIM('[1]Personale di appoggio'!$F46)=TRIM([1]qualifiche!$E$5),[1]qualifiche!$D$5,
IF(TRIM('[1]Personale di appoggio'!$F46)=TRIM([1]qualifiche!$E$6),[1]qualifiche!$D$6,
IF(TRIM('[1]Personale di appoggio'!$F46)=TRIM([1]qualifiche!$E$7),[1]qualifiche!$D$7,
IF(TRIM('[1]Personale di appoggio'!$F46)=TRIM([1]qualifiche!$E$8),[1]qualifiche!$D$8,
IF(TRIM('[1]Personale di appoggio'!$F46)=TRIM([1]qualifiche!$E$9),[1]qualifiche!$D$9,
IF(TRIM('[1]Personale di appoggio'!$F46)=TRIM([1]qualifiche!$E$10),[1]qualifiche!$D$10,
IF(TRIM('[1]Personale di appoggio'!$F46)=TRIM([1]qualifiche!$E$11),[1]qualifiche!$D$11,""))))))))))</f>
        <v>8</v>
      </c>
      <c r="G45" s="5" t="s">
        <v>251</v>
      </c>
      <c r="H45" s="5" t="s">
        <v>252</v>
      </c>
      <c r="I45" s="6" t="s">
        <v>253</v>
      </c>
      <c r="J45" s="7">
        <f>IF('[1]Personale di appoggio'!J46="X",1,0)</f>
        <v>0</v>
      </c>
      <c r="K45" s="7">
        <f>IF('[1]Personale di appoggio'!K46="X",1,0)</f>
        <v>0</v>
      </c>
      <c r="L45" s="7">
        <f>IF('[1]Personale di appoggio'!L46="X",1,0)</f>
        <v>0</v>
      </c>
      <c r="M45" s="7">
        <f>IF('[1]Personale di appoggio'!M46="X",1,0)</f>
        <v>0</v>
      </c>
      <c r="N45" s="3"/>
      <c r="O45" s="3"/>
      <c r="P45" s="11" t="str">
        <f>IF('[1]Personale di appoggio'!$P46="","",'[1]Personale di appoggio'!$P46)</f>
        <v/>
      </c>
      <c r="Q45" s="4" t="s">
        <v>6</v>
      </c>
      <c r="R45" s="4">
        <f t="shared" si="0"/>
        <v>4</v>
      </c>
    </row>
    <row r="46" spans="1:18" ht="31.5" x14ac:dyDescent="0.45">
      <c r="A46" s="9">
        <v>46</v>
      </c>
      <c r="B46" s="2" t="s">
        <v>254</v>
      </c>
      <c r="C46" s="3" t="s">
        <v>255</v>
      </c>
      <c r="D46" s="3" t="s">
        <v>256</v>
      </c>
      <c r="E46" s="4">
        <f>IFERROR(INDEX([1]uot!$A$2:$A$40, MATCH("*"&amp;'[1]Personale di appoggio'!$D47&amp;"*", [1]uot!$B$2:$B$40, 0)), "Valore non trovato")</f>
        <v>15</v>
      </c>
      <c r="F46" s="4">
        <f>IF(TRIM('[1]Personale di appoggio'!$F47)=TRIM([1]qualifiche!$E$2),[1]qualifiche!$D$2,
IF(TRIM('[1]Personale di appoggio'!$F47)=TRIM([1]qualifiche!$E$3),[1]qualifiche!$D$3,
IF(TRIM('[1]Personale di appoggio'!$F47)=TRIM([1]qualifiche!$E$4),[1]qualifiche!$D$4,
IF(TRIM('[1]Personale di appoggio'!$F47)=TRIM([1]qualifiche!$E$5),[1]qualifiche!$D$5,
IF(TRIM('[1]Personale di appoggio'!$F47)=TRIM([1]qualifiche!$E$6),[1]qualifiche!$D$6,
IF(TRIM('[1]Personale di appoggio'!$F47)=TRIM([1]qualifiche!$E$7),[1]qualifiche!$D$7,
IF(TRIM('[1]Personale di appoggio'!$F47)=TRIM([1]qualifiche!$E$8),[1]qualifiche!$D$8,
IF(TRIM('[1]Personale di appoggio'!$F47)=TRIM([1]qualifiche!$E$9),[1]qualifiche!$D$9,
IF(TRIM('[1]Personale di appoggio'!$F47)=TRIM([1]qualifiche!$E$10),[1]qualifiche!$D$10,
IF(TRIM('[1]Personale di appoggio'!$F47)=TRIM([1]qualifiche!$E$11),[1]qualifiche!$D$11,""))))))))))</f>
        <v>1</v>
      </c>
      <c r="G46" s="5" t="s">
        <v>257</v>
      </c>
      <c r="H46" s="5" t="s">
        <v>258</v>
      </c>
      <c r="I46" s="6" t="s">
        <v>259</v>
      </c>
      <c r="J46" s="7">
        <f>IF('[1]Personale di appoggio'!J47="X",1,0)</f>
        <v>1</v>
      </c>
      <c r="K46" s="7">
        <f>IF('[1]Personale di appoggio'!K47="X",1,0)</f>
        <v>1</v>
      </c>
      <c r="L46" s="7">
        <f>IF('[1]Personale di appoggio'!L47="X",1,0)</f>
        <v>0</v>
      </c>
      <c r="M46" s="7">
        <f>IF('[1]Personale di appoggio'!M47="X",1,0)</f>
        <v>0</v>
      </c>
      <c r="N46" s="3"/>
      <c r="O46" s="3"/>
      <c r="P46" s="11" t="str">
        <f>IF('[1]Personale di appoggio'!$P47="","",'[1]Personale di appoggio'!$P47)</f>
        <v/>
      </c>
      <c r="Q46" s="4" t="s">
        <v>6</v>
      </c>
      <c r="R46" s="4">
        <f t="shared" si="0"/>
        <v>2</v>
      </c>
    </row>
    <row r="47" spans="1:18" ht="31.5" x14ac:dyDescent="0.45">
      <c r="A47" s="9">
        <v>47</v>
      </c>
      <c r="B47" s="2" t="s">
        <v>260</v>
      </c>
      <c r="C47" s="3" t="s">
        <v>261</v>
      </c>
      <c r="D47" s="3" t="s">
        <v>240</v>
      </c>
      <c r="E47" s="4">
        <f>IFERROR(INDEX([1]uot!$A$2:$A$40, MATCH("*"&amp;'[1]Personale di appoggio'!$D48&amp;"*", [1]uot!$B$2:$B$40, 0)), "Valore non trovato")</f>
        <v>15</v>
      </c>
      <c r="F47" s="4">
        <f>IF(TRIM('[1]Personale di appoggio'!$F48)=TRIM([1]qualifiche!$E$2),[1]qualifiche!$D$2,
IF(TRIM('[1]Personale di appoggio'!$F48)=TRIM([1]qualifiche!$E$3),[1]qualifiche!$D$3,
IF(TRIM('[1]Personale di appoggio'!$F48)=TRIM([1]qualifiche!$E$4),[1]qualifiche!$D$4,
IF(TRIM('[1]Personale di appoggio'!$F48)=TRIM([1]qualifiche!$E$5),[1]qualifiche!$D$5,
IF(TRIM('[1]Personale di appoggio'!$F48)=TRIM([1]qualifiche!$E$6),[1]qualifiche!$D$6,
IF(TRIM('[1]Personale di appoggio'!$F48)=TRIM([1]qualifiche!$E$7),[1]qualifiche!$D$7,
IF(TRIM('[1]Personale di appoggio'!$F48)=TRIM([1]qualifiche!$E$8),[1]qualifiche!$D$8,
IF(TRIM('[1]Personale di appoggio'!$F48)=TRIM([1]qualifiche!$E$9),[1]qualifiche!$D$9,
IF(TRIM('[1]Personale di appoggio'!$F48)=TRIM([1]qualifiche!$E$10),[1]qualifiche!$D$10,
IF(TRIM('[1]Personale di appoggio'!$F48)=TRIM([1]qualifiche!$E$11),[1]qualifiche!$D$11,""))))))))))</f>
        <v>4</v>
      </c>
      <c r="G47" s="5" t="s">
        <v>262</v>
      </c>
      <c r="H47" s="5" t="s">
        <v>263</v>
      </c>
      <c r="I47" s="6" t="s">
        <v>264</v>
      </c>
      <c r="J47" s="7">
        <f>IF('[1]Personale di appoggio'!J48="X",1,0)</f>
        <v>1</v>
      </c>
      <c r="K47" s="7">
        <f>IF('[1]Personale di appoggio'!K48="X",1,0)</f>
        <v>0</v>
      </c>
      <c r="L47" s="7">
        <f>IF('[1]Personale di appoggio'!L48="X",1,0)</f>
        <v>0</v>
      </c>
      <c r="M47" s="7">
        <f>IF('[1]Personale di appoggio'!M48="X",1,0)</f>
        <v>0</v>
      </c>
      <c r="N47" s="3"/>
      <c r="O47" s="3"/>
      <c r="P47" s="11" t="str">
        <f>IF('[1]Personale di appoggio'!$P48="","",'[1]Personale di appoggio'!$P48)</f>
        <v/>
      </c>
      <c r="Q47" s="4" t="s">
        <v>6</v>
      </c>
      <c r="R47" s="4">
        <f t="shared" si="0"/>
        <v>2</v>
      </c>
    </row>
    <row r="48" spans="1:18" ht="31.5" x14ac:dyDescent="0.45">
      <c r="A48" s="9">
        <v>48</v>
      </c>
      <c r="B48" s="2" t="s">
        <v>265</v>
      </c>
      <c r="C48" s="3" t="s">
        <v>266</v>
      </c>
      <c r="D48" s="3" t="s">
        <v>267</v>
      </c>
      <c r="E48" s="4">
        <f>IFERROR(INDEX([1]uot!$A$2:$A$40, MATCH("*"&amp;'[1]Personale di appoggio'!$D49&amp;"*", [1]uot!$B$2:$B$40, 0)), "Valore non trovato")</f>
        <v>15</v>
      </c>
      <c r="F48" s="4">
        <f>IF(TRIM('[1]Personale di appoggio'!$F49)=TRIM([1]qualifiche!$E$2),[1]qualifiche!$D$2,
IF(TRIM('[1]Personale di appoggio'!$F49)=TRIM([1]qualifiche!$E$3),[1]qualifiche!$D$3,
IF(TRIM('[1]Personale di appoggio'!$F49)=TRIM([1]qualifiche!$E$4),[1]qualifiche!$D$4,
IF(TRIM('[1]Personale di appoggio'!$F49)=TRIM([1]qualifiche!$E$5),[1]qualifiche!$D$5,
IF(TRIM('[1]Personale di appoggio'!$F49)=TRIM([1]qualifiche!$E$6),[1]qualifiche!$D$6,
IF(TRIM('[1]Personale di appoggio'!$F49)=TRIM([1]qualifiche!$E$7),[1]qualifiche!$D$7,
IF(TRIM('[1]Personale di appoggio'!$F49)=TRIM([1]qualifiche!$E$8),[1]qualifiche!$D$8,
IF(TRIM('[1]Personale di appoggio'!$F49)=TRIM([1]qualifiche!$E$9),[1]qualifiche!$D$9,
IF(TRIM('[1]Personale di appoggio'!$F49)=TRIM([1]qualifiche!$E$10),[1]qualifiche!$D$10,
IF(TRIM('[1]Personale di appoggio'!$F49)=TRIM([1]qualifiche!$E$11),[1]qualifiche!$D$11,""))))))))))</f>
        <v>4</v>
      </c>
      <c r="G48" s="5" t="s">
        <v>268</v>
      </c>
      <c r="H48" s="5" t="s">
        <v>269</v>
      </c>
      <c r="I48" s="6" t="s">
        <v>270</v>
      </c>
      <c r="J48" s="7">
        <f>IF('[1]Personale di appoggio'!J49="X",1,0)</f>
        <v>1</v>
      </c>
      <c r="K48" s="7">
        <f>IF('[1]Personale di appoggio'!K49="X",1,0)</f>
        <v>0</v>
      </c>
      <c r="L48" s="7">
        <f>IF('[1]Personale di appoggio'!L49="X",1,0)</f>
        <v>0</v>
      </c>
      <c r="M48" s="7">
        <f>IF('[1]Personale di appoggio'!M49="X",1,0)</f>
        <v>0</v>
      </c>
      <c r="N48" s="3"/>
      <c r="O48" s="3"/>
      <c r="P48" s="11" t="str">
        <f>IF('[1]Personale di appoggio'!$P49="","",'[1]Personale di appoggio'!$P49)</f>
        <v/>
      </c>
      <c r="Q48" s="4" t="s">
        <v>6</v>
      </c>
      <c r="R48" s="4">
        <f t="shared" si="0"/>
        <v>2</v>
      </c>
    </row>
    <row r="49" spans="1:18" ht="31.5" x14ac:dyDescent="0.45">
      <c r="A49" s="9">
        <v>49</v>
      </c>
      <c r="B49" s="2" t="s">
        <v>271</v>
      </c>
      <c r="C49" s="3" t="s">
        <v>272</v>
      </c>
      <c r="D49" s="3" t="s">
        <v>57</v>
      </c>
      <c r="E49" s="4">
        <f>IFERROR(INDEX([1]uot!$A$2:$A$40, MATCH("*"&amp;'[1]Personale di appoggio'!$D50&amp;"*", [1]uot!$B$2:$B$40, 0)), "Valore non trovato")</f>
        <v>15</v>
      </c>
      <c r="F49" s="4">
        <f>IF(TRIM('[1]Personale di appoggio'!$F50)=TRIM([1]qualifiche!$E$2),[1]qualifiche!$D$2,
IF(TRIM('[1]Personale di appoggio'!$F50)=TRIM([1]qualifiche!$E$3),[1]qualifiche!$D$3,
IF(TRIM('[1]Personale di appoggio'!$F50)=TRIM([1]qualifiche!$E$4),[1]qualifiche!$D$4,
IF(TRIM('[1]Personale di appoggio'!$F50)=TRIM([1]qualifiche!$E$5),[1]qualifiche!$D$5,
IF(TRIM('[1]Personale di appoggio'!$F50)=TRIM([1]qualifiche!$E$6),[1]qualifiche!$D$6,
IF(TRIM('[1]Personale di appoggio'!$F50)=TRIM([1]qualifiche!$E$7),[1]qualifiche!$D$7,
IF(TRIM('[1]Personale di appoggio'!$F50)=TRIM([1]qualifiche!$E$8),[1]qualifiche!$D$8,
IF(TRIM('[1]Personale di appoggio'!$F50)=TRIM([1]qualifiche!$E$9),[1]qualifiche!$D$9,
IF(TRIM('[1]Personale di appoggio'!$F50)=TRIM([1]qualifiche!$E$10),[1]qualifiche!$D$10,
IF(TRIM('[1]Personale di appoggio'!$F50)=TRIM([1]qualifiche!$E$11),[1]qualifiche!$D$11,""))))))))))</f>
        <v>4</v>
      </c>
      <c r="G49" s="5" t="s">
        <v>273</v>
      </c>
      <c r="H49" s="5" t="s">
        <v>274</v>
      </c>
      <c r="I49" s="6" t="s">
        <v>275</v>
      </c>
      <c r="J49" s="7">
        <f>IF('[1]Personale di appoggio'!J50="X",1,0)</f>
        <v>0</v>
      </c>
      <c r="K49" s="7">
        <f>IF('[1]Personale di appoggio'!K50="X",1,0)</f>
        <v>1</v>
      </c>
      <c r="L49" s="7">
        <f>IF('[1]Personale di appoggio'!L50="X",1,0)</f>
        <v>0</v>
      </c>
      <c r="M49" s="7">
        <f>IF('[1]Personale di appoggio'!M50="X",1,0)</f>
        <v>0</v>
      </c>
      <c r="N49" s="3"/>
      <c r="O49" s="3"/>
      <c r="P49" s="11" t="str">
        <f>IF('[1]Personale di appoggio'!$P50="","",'[1]Personale di appoggio'!$P50)</f>
        <v/>
      </c>
      <c r="Q49" s="4" t="s">
        <v>6</v>
      </c>
      <c r="R49" s="4">
        <f t="shared" si="0"/>
        <v>2</v>
      </c>
    </row>
    <row r="50" spans="1:18" ht="31.5" x14ac:dyDescent="0.45">
      <c r="A50" s="9">
        <v>50</v>
      </c>
      <c r="B50" s="2" t="s">
        <v>276</v>
      </c>
      <c r="C50" s="3" t="s">
        <v>277</v>
      </c>
      <c r="D50" s="3" t="s">
        <v>278</v>
      </c>
      <c r="E50" s="4">
        <f>IFERROR(INDEX([1]uot!$A$2:$A$40, MATCH("*"&amp;'[1]Personale di appoggio'!$D51&amp;"*", [1]uot!$B$2:$B$40, 0)), "Valore non trovato")</f>
        <v>15</v>
      </c>
      <c r="F50" s="4">
        <f>IF(TRIM('[1]Personale di appoggio'!$F51)=TRIM([1]qualifiche!$E$2),[1]qualifiche!$D$2,
IF(TRIM('[1]Personale di appoggio'!$F51)=TRIM([1]qualifiche!$E$3),[1]qualifiche!$D$3,
IF(TRIM('[1]Personale di appoggio'!$F51)=TRIM([1]qualifiche!$E$4),[1]qualifiche!$D$4,
IF(TRIM('[1]Personale di appoggio'!$F51)=TRIM([1]qualifiche!$E$5),[1]qualifiche!$D$5,
IF(TRIM('[1]Personale di appoggio'!$F51)=TRIM([1]qualifiche!$E$6),[1]qualifiche!$D$6,
IF(TRIM('[1]Personale di appoggio'!$F51)=TRIM([1]qualifiche!$E$7),[1]qualifiche!$D$7,
IF(TRIM('[1]Personale di appoggio'!$F51)=TRIM([1]qualifiche!$E$8),[1]qualifiche!$D$8,
IF(TRIM('[1]Personale di appoggio'!$F51)=TRIM([1]qualifiche!$E$9),[1]qualifiche!$D$9,
IF(TRIM('[1]Personale di appoggio'!$F51)=TRIM([1]qualifiche!$E$10),[1]qualifiche!$D$10,
IF(TRIM('[1]Personale di appoggio'!$F51)=TRIM([1]qualifiche!$E$11),[1]qualifiche!$D$11,""))))))))))</f>
        <v>4</v>
      </c>
      <c r="G50" s="5" t="s">
        <v>279</v>
      </c>
      <c r="H50" s="5" t="s">
        <v>280</v>
      </c>
      <c r="I50" s="6" t="s">
        <v>281</v>
      </c>
      <c r="J50" s="7">
        <f>IF('[1]Personale di appoggio'!J51="X",1,0)</f>
        <v>0</v>
      </c>
      <c r="K50" s="7">
        <f>IF('[1]Personale di appoggio'!K51="X",1,0)</f>
        <v>1</v>
      </c>
      <c r="L50" s="7">
        <f>IF('[1]Personale di appoggio'!L51="X",1,0)</f>
        <v>0</v>
      </c>
      <c r="M50" s="7">
        <f>IF('[1]Personale di appoggio'!M51="X",1,0)</f>
        <v>1</v>
      </c>
      <c r="N50" s="3"/>
      <c r="O50" s="3"/>
      <c r="P50" s="11" t="str">
        <f>IF('[1]Personale di appoggio'!$P51="","",'[1]Personale di appoggio'!$P51)</f>
        <v/>
      </c>
      <c r="Q50" s="4" t="s">
        <v>6</v>
      </c>
      <c r="R50" s="4">
        <f t="shared" si="0"/>
        <v>2</v>
      </c>
    </row>
    <row r="51" spans="1:18" ht="31.5" x14ac:dyDescent="0.45">
      <c r="A51" s="9">
        <v>51</v>
      </c>
      <c r="B51" s="2" t="s">
        <v>282</v>
      </c>
      <c r="C51" s="3" t="s">
        <v>283</v>
      </c>
      <c r="D51" s="3" t="s">
        <v>284</v>
      </c>
      <c r="E51" s="4">
        <f>IFERROR(INDEX([1]uot!$A$2:$A$40, MATCH("*"&amp;'[1]Personale di appoggio'!$D52&amp;"*", [1]uot!$B$2:$B$40, 0)), "Valore non trovato")</f>
        <v>15</v>
      </c>
      <c r="F51" s="4">
        <f>IF(TRIM('[1]Personale di appoggio'!$F52)=TRIM([1]qualifiche!$E$2),[1]qualifiche!$D$2,
IF(TRIM('[1]Personale di appoggio'!$F52)=TRIM([1]qualifiche!$E$3),[1]qualifiche!$D$3,
IF(TRIM('[1]Personale di appoggio'!$F52)=TRIM([1]qualifiche!$E$4),[1]qualifiche!$D$4,
IF(TRIM('[1]Personale di appoggio'!$F52)=TRIM([1]qualifiche!$E$5),[1]qualifiche!$D$5,
IF(TRIM('[1]Personale di appoggio'!$F52)=TRIM([1]qualifiche!$E$6),[1]qualifiche!$D$6,
IF(TRIM('[1]Personale di appoggio'!$F52)=TRIM([1]qualifiche!$E$7),[1]qualifiche!$D$7,
IF(TRIM('[1]Personale di appoggio'!$F52)=TRIM([1]qualifiche!$E$8),[1]qualifiche!$D$8,
IF(TRIM('[1]Personale di appoggio'!$F52)=TRIM([1]qualifiche!$E$9),[1]qualifiche!$D$9,
IF(TRIM('[1]Personale di appoggio'!$F52)=TRIM([1]qualifiche!$E$10),[1]qualifiche!$D$10,
IF(TRIM('[1]Personale di appoggio'!$F52)=TRIM([1]qualifiche!$E$11),[1]qualifiche!$D$11,""))))))))))</f>
        <v>7</v>
      </c>
      <c r="G51" s="5" t="s">
        <v>285</v>
      </c>
      <c r="H51" s="5" t="s">
        <v>286</v>
      </c>
      <c r="I51" s="6" t="s">
        <v>287</v>
      </c>
      <c r="J51" s="7">
        <f>IF('[1]Personale di appoggio'!J52="X",1,0)</f>
        <v>0</v>
      </c>
      <c r="K51" s="7">
        <f>IF('[1]Personale di appoggio'!K52="X",1,0)</f>
        <v>0</v>
      </c>
      <c r="L51" s="7">
        <f>IF('[1]Personale di appoggio'!L52="X",1,0)</f>
        <v>0</v>
      </c>
      <c r="M51" s="7">
        <f>IF('[1]Personale di appoggio'!M52="X",1,0)</f>
        <v>0</v>
      </c>
      <c r="N51" s="3"/>
      <c r="O51" s="3"/>
      <c r="P51" s="11" t="str">
        <f>IF('[1]Personale di appoggio'!$P52="","",'[1]Personale di appoggio'!$P52)</f>
        <v/>
      </c>
      <c r="Q51" s="4" t="s">
        <v>6</v>
      </c>
      <c r="R51" s="4">
        <f t="shared" si="0"/>
        <v>4</v>
      </c>
    </row>
    <row r="52" spans="1:18" ht="31.5" x14ac:dyDescent="0.45">
      <c r="A52" s="9">
        <v>52</v>
      </c>
      <c r="B52" s="2" t="s">
        <v>288</v>
      </c>
      <c r="C52" s="3" t="s">
        <v>289</v>
      </c>
      <c r="D52" s="3" t="s">
        <v>140</v>
      </c>
      <c r="E52" s="4">
        <f>IFERROR(INDEX([1]uot!$A$2:$A$40, MATCH("*"&amp;'[1]Personale di appoggio'!$D53&amp;"*", [1]uot!$B$2:$B$40, 0)), "Valore non trovato")</f>
        <v>15</v>
      </c>
      <c r="F52" s="4">
        <f>IF(TRIM('[1]Personale di appoggio'!$F53)=TRIM([1]qualifiche!$E$2),[1]qualifiche!$D$2,
IF(TRIM('[1]Personale di appoggio'!$F53)=TRIM([1]qualifiche!$E$3),[1]qualifiche!$D$3,
IF(TRIM('[1]Personale di appoggio'!$F53)=TRIM([1]qualifiche!$E$4),[1]qualifiche!$D$4,
IF(TRIM('[1]Personale di appoggio'!$F53)=TRIM([1]qualifiche!$E$5),[1]qualifiche!$D$5,
IF(TRIM('[1]Personale di appoggio'!$F53)=TRIM([1]qualifiche!$E$6),[1]qualifiche!$D$6,
IF(TRIM('[1]Personale di appoggio'!$F53)=TRIM([1]qualifiche!$E$7),[1]qualifiche!$D$7,
IF(TRIM('[1]Personale di appoggio'!$F53)=TRIM([1]qualifiche!$E$8),[1]qualifiche!$D$8,
IF(TRIM('[1]Personale di appoggio'!$F53)=TRIM([1]qualifiche!$E$9),[1]qualifiche!$D$9,
IF(TRIM('[1]Personale di appoggio'!$F53)=TRIM([1]qualifiche!$E$10),[1]qualifiche!$D$10,
IF(TRIM('[1]Personale di appoggio'!$F53)=TRIM([1]qualifiche!$E$11),[1]qualifiche!$D$11,""))))))))))</f>
        <v>7</v>
      </c>
      <c r="G52" s="5" t="s">
        <v>290</v>
      </c>
      <c r="H52" s="5" t="s">
        <v>291</v>
      </c>
      <c r="I52" s="6" t="s">
        <v>292</v>
      </c>
      <c r="J52" s="7">
        <f>IF('[1]Personale di appoggio'!J53="X",1,0)</f>
        <v>0</v>
      </c>
      <c r="K52" s="7">
        <f>IF('[1]Personale di appoggio'!K53="X",1,0)</f>
        <v>0</v>
      </c>
      <c r="L52" s="7">
        <f>IF('[1]Personale di appoggio'!L53="X",1,0)</f>
        <v>0</v>
      </c>
      <c r="M52" s="7">
        <f>IF('[1]Personale di appoggio'!M53="X",1,0)</f>
        <v>0</v>
      </c>
      <c r="N52" s="3"/>
      <c r="O52" s="3"/>
      <c r="P52" s="11" t="str">
        <f>IF('[1]Personale di appoggio'!$P53="","",'[1]Personale di appoggio'!$P53)</f>
        <v/>
      </c>
      <c r="Q52" s="4" t="s">
        <v>6</v>
      </c>
      <c r="R52" s="4">
        <f t="shared" si="0"/>
        <v>4</v>
      </c>
    </row>
    <row r="53" spans="1:18" ht="31.5" x14ac:dyDescent="0.45">
      <c r="A53" s="9">
        <v>53</v>
      </c>
      <c r="B53" s="2" t="s">
        <v>293</v>
      </c>
      <c r="C53" s="3" t="s">
        <v>294</v>
      </c>
      <c r="D53" s="3" t="s">
        <v>295</v>
      </c>
      <c r="E53" s="4">
        <f>IFERROR(INDEX([1]uot!$A$2:$A$40, MATCH("*"&amp;'[1]Personale di appoggio'!$D54&amp;"*", [1]uot!$B$2:$B$40, 0)), "Valore non trovato")</f>
        <v>15</v>
      </c>
      <c r="F53" s="4">
        <f>IF(TRIM('[1]Personale di appoggio'!$F54)=TRIM([1]qualifiche!$E$2),[1]qualifiche!$D$2,
IF(TRIM('[1]Personale di appoggio'!$F54)=TRIM([1]qualifiche!$E$3),[1]qualifiche!$D$3,
IF(TRIM('[1]Personale di appoggio'!$F54)=TRIM([1]qualifiche!$E$4),[1]qualifiche!$D$4,
IF(TRIM('[1]Personale di appoggio'!$F54)=TRIM([1]qualifiche!$E$5),[1]qualifiche!$D$5,
IF(TRIM('[1]Personale di appoggio'!$F54)=TRIM([1]qualifiche!$E$6),[1]qualifiche!$D$6,
IF(TRIM('[1]Personale di appoggio'!$F54)=TRIM([1]qualifiche!$E$7),[1]qualifiche!$D$7,
IF(TRIM('[1]Personale di appoggio'!$F54)=TRIM([1]qualifiche!$E$8),[1]qualifiche!$D$8,
IF(TRIM('[1]Personale di appoggio'!$F54)=TRIM([1]qualifiche!$E$9),[1]qualifiche!$D$9,
IF(TRIM('[1]Personale di appoggio'!$F54)=TRIM([1]qualifiche!$E$10),[1]qualifiche!$D$10,
IF(TRIM('[1]Personale di appoggio'!$F54)=TRIM([1]qualifiche!$E$11),[1]qualifiche!$D$11,""))))))))))</f>
        <v>7</v>
      </c>
      <c r="G53" s="5" t="s">
        <v>296</v>
      </c>
      <c r="H53" s="5" t="s">
        <v>297</v>
      </c>
      <c r="I53" s="6" t="s">
        <v>298</v>
      </c>
      <c r="J53" s="7">
        <f>IF('[1]Personale di appoggio'!J54="X",1,0)</f>
        <v>0</v>
      </c>
      <c r="K53" s="7">
        <f>IF('[1]Personale di appoggio'!K54="X",1,0)</f>
        <v>0</v>
      </c>
      <c r="L53" s="7">
        <f>IF('[1]Personale di appoggio'!L54="X",1,0)</f>
        <v>0</v>
      </c>
      <c r="M53" s="7">
        <f>IF('[1]Personale di appoggio'!M54="X",1,0)</f>
        <v>0</v>
      </c>
      <c r="N53" s="3"/>
      <c r="O53" s="3"/>
      <c r="P53" s="11" t="str">
        <f>IF('[1]Personale di appoggio'!$P54="","",'[1]Personale di appoggio'!$P54)</f>
        <v/>
      </c>
      <c r="Q53" s="4" t="s">
        <v>6</v>
      </c>
      <c r="R53" s="4">
        <f t="shared" si="0"/>
        <v>4</v>
      </c>
    </row>
    <row r="54" spans="1:18" ht="31.5" x14ac:dyDescent="0.45">
      <c r="A54" s="9">
        <v>54</v>
      </c>
      <c r="B54" s="2" t="s">
        <v>299</v>
      </c>
      <c r="C54" s="3" t="s">
        <v>300</v>
      </c>
      <c r="D54" s="3" t="s">
        <v>69</v>
      </c>
      <c r="E54" s="4">
        <f>IFERROR(INDEX([1]uot!$A$2:$A$40, MATCH("*"&amp;'[1]Personale di appoggio'!$D55&amp;"*", [1]uot!$B$2:$B$40, 0)), "Valore non trovato")</f>
        <v>28</v>
      </c>
      <c r="F54" s="4">
        <f>IF(TRIM('[1]Personale di appoggio'!$F55)=TRIM([1]qualifiche!$E$2),[1]qualifiche!$D$2,
IF(TRIM('[1]Personale di appoggio'!$F55)=TRIM([1]qualifiche!$E$3),[1]qualifiche!$D$3,
IF(TRIM('[1]Personale di appoggio'!$F55)=TRIM([1]qualifiche!$E$4),[1]qualifiche!$D$4,
IF(TRIM('[1]Personale di appoggio'!$F55)=TRIM([1]qualifiche!$E$5),[1]qualifiche!$D$5,
IF(TRIM('[1]Personale di appoggio'!$F55)=TRIM([1]qualifiche!$E$6),[1]qualifiche!$D$6,
IF(TRIM('[1]Personale di appoggio'!$F55)=TRIM([1]qualifiche!$E$7),[1]qualifiche!$D$7,
IF(TRIM('[1]Personale di appoggio'!$F55)=TRIM([1]qualifiche!$E$8),[1]qualifiche!$D$8,
IF(TRIM('[1]Personale di appoggio'!$F55)=TRIM([1]qualifiche!$E$9),[1]qualifiche!$D$9,
IF(TRIM('[1]Personale di appoggio'!$F55)=TRIM([1]qualifiche!$E$10),[1]qualifiche!$D$10,
IF(TRIM('[1]Personale di appoggio'!$F55)=TRIM([1]qualifiche!$E$11),[1]qualifiche!$D$11,""))))))))))</f>
        <v>1</v>
      </c>
      <c r="G54" s="5" t="s">
        <v>301</v>
      </c>
      <c r="H54" s="5" t="s">
        <v>302</v>
      </c>
      <c r="I54" s="6" t="s">
        <v>303</v>
      </c>
      <c r="J54" s="7">
        <f>IF('[1]Personale di appoggio'!J55="X",1,0)</f>
        <v>1</v>
      </c>
      <c r="K54" s="7">
        <f>IF('[1]Personale di appoggio'!K55="X",1,0)</f>
        <v>1</v>
      </c>
      <c r="L54" s="7">
        <f>IF('[1]Personale di appoggio'!L55="X",1,0)</f>
        <v>0</v>
      </c>
      <c r="M54" s="7">
        <f>IF('[1]Personale di appoggio'!M55="X",1,0)</f>
        <v>0</v>
      </c>
      <c r="N54" s="3"/>
      <c r="O54" s="3"/>
      <c r="P54" s="11" t="str">
        <f>IF('[1]Personale di appoggio'!$P55="","",'[1]Personale di appoggio'!$P55)</f>
        <v/>
      </c>
      <c r="Q54" s="4" t="s">
        <v>6</v>
      </c>
      <c r="R54" s="4">
        <f t="shared" si="0"/>
        <v>2</v>
      </c>
    </row>
    <row r="55" spans="1:18" ht="141.75" x14ac:dyDescent="0.45">
      <c r="A55" s="9">
        <v>55</v>
      </c>
      <c r="B55" s="2" t="s">
        <v>304</v>
      </c>
      <c r="C55" s="3" t="s">
        <v>305</v>
      </c>
      <c r="D55" s="3" t="s">
        <v>306</v>
      </c>
      <c r="E55" s="4">
        <f>IFERROR(INDEX([1]uot!$A$2:$A$40, MATCH("*"&amp;'[1]Personale di appoggio'!$D56&amp;"*", [1]uot!$B$2:$B$40, 0)), "Valore non trovato")</f>
        <v>28</v>
      </c>
      <c r="F55" s="4">
        <f>IF(TRIM('[1]Personale di appoggio'!$F56)=TRIM([1]qualifiche!$E$2),[1]qualifiche!$D$2,
IF(TRIM('[1]Personale di appoggio'!$F56)=TRIM([1]qualifiche!$E$3),[1]qualifiche!$D$3,
IF(TRIM('[1]Personale di appoggio'!$F56)=TRIM([1]qualifiche!$E$4),[1]qualifiche!$D$4,
IF(TRIM('[1]Personale di appoggio'!$F56)=TRIM([1]qualifiche!$E$5),[1]qualifiche!$D$5,
IF(TRIM('[1]Personale di appoggio'!$F56)=TRIM([1]qualifiche!$E$6),[1]qualifiche!$D$6,
IF(TRIM('[1]Personale di appoggio'!$F56)=TRIM([1]qualifiche!$E$7),[1]qualifiche!$D$7,
IF(TRIM('[1]Personale di appoggio'!$F56)=TRIM([1]qualifiche!$E$8),[1]qualifiche!$D$8,
IF(TRIM('[1]Personale di appoggio'!$F56)=TRIM([1]qualifiche!$E$9),[1]qualifiche!$D$9,
IF(TRIM('[1]Personale di appoggio'!$F56)=TRIM([1]qualifiche!$E$10),[1]qualifiche!$D$10,
IF(TRIM('[1]Personale di appoggio'!$F56)=TRIM([1]qualifiche!$E$11),[1]qualifiche!$D$11,""))))))))))</f>
        <v>4</v>
      </c>
      <c r="G55" s="5" t="s">
        <v>307</v>
      </c>
      <c r="H55" s="5" t="s">
        <v>308</v>
      </c>
      <c r="I55" s="6" t="s">
        <v>309</v>
      </c>
      <c r="J55" s="7">
        <f>IF('[1]Personale di appoggio'!J56="X",1,0)</f>
        <v>1</v>
      </c>
      <c r="K55" s="7">
        <f>IF('[1]Personale di appoggio'!K56="X",1,0)</f>
        <v>0</v>
      </c>
      <c r="L55" s="7">
        <f>IF('[1]Personale di appoggio'!L56="X",1,0)</f>
        <v>1</v>
      </c>
      <c r="M55" s="7">
        <f>IF('[1]Personale di appoggio'!M56="X",1,0)</f>
        <v>0</v>
      </c>
      <c r="N55" s="3"/>
      <c r="O55" s="3"/>
      <c r="P55" s="11" t="str">
        <f>IF('[1]Personale di appoggio'!$P56="","",'[1]Personale di appoggio'!$P56)</f>
        <v>PRESSIONE: limitatamente ad apparecchi semplici e criogenici</v>
      </c>
      <c r="Q55" s="4" t="s">
        <v>6</v>
      </c>
      <c r="R55" s="4">
        <f t="shared" si="0"/>
        <v>2</v>
      </c>
    </row>
    <row r="56" spans="1:18" ht="42.75" x14ac:dyDescent="0.45">
      <c r="A56" s="9">
        <v>56</v>
      </c>
      <c r="B56" s="2" t="s">
        <v>310</v>
      </c>
      <c r="C56" s="3" t="s">
        <v>311</v>
      </c>
      <c r="D56" s="3" t="s">
        <v>312</v>
      </c>
      <c r="E56" s="4">
        <f>IFERROR(INDEX([1]uot!$A$2:$A$40, MATCH("*"&amp;'[1]Personale di appoggio'!$D57&amp;"*", [1]uot!$B$2:$B$40, 0)), "Valore non trovato")</f>
        <v>28</v>
      </c>
      <c r="F56" s="4">
        <f>IF(TRIM('[1]Personale di appoggio'!$F57)=TRIM([1]qualifiche!$E$2),[1]qualifiche!$D$2,
IF(TRIM('[1]Personale di appoggio'!$F57)=TRIM([1]qualifiche!$E$3),[1]qualifiche!$D$3,
IF(TRIM('[1]Personale di appoggio'!$F57)=TRIM([1]qualifiche!$E$4),[1]qualifiche!$D$4,
IF(TRIM('[1]Personale di appoggio'!$F57)=TRIM([1]qualifiche!$E$5),[1]qualifiche!$D$5,
IF(TRIM('[1]Personale di appoggio'!$F57)=TRIM([1]qualifiche!$E$6),[1]qualifiche!$D$6,
IF(TRIM('[1]Personale di appoggio'!$F57)=TRIM([1]qualifiche!$E$7),[1]qualifiche!$D$7,
IF(TRIM('[1]Personale di appoggio'!$F57)=TRIM([1]qualifiche!$E$8),[1]qualifiche!$D$8,
IF(TRIM('[1]Personale di appoggio'!$F57)=TRIM([1]qualifiche!$E$9),[1]qualifiche!$D$9,
IF(TRIM('[1]Personale di appoggio'!$F57)=TRIM([1]qualifiche!$E$10),[1]qualifiche!$D$10,
IF(TRIM('[1]Personale di appoggio'!$F57)=TRIM([1]qualifiche!$E$11),[1]qualifiche!$D$11,""))))))))))</f>
        <v>6</v>
      </c>
      <c r="G56" s="5" t="s">
        <v>313</v>
      </c>
      <c r="H56" s="5" t="s">
        <v>314</v>
      </c>
      <c r="I56" s="6" t="s">
        <v>315</v>
      </c>
      <c r="J56" s="7">
        <f>IF('[1]Personale di appoggio'!J57="X",1,0)</f>
        <v>0</v>
      </c>
      <c r="K56" s="7">
        <f>IF('[1]Personale di appoggio'!K57="X",1,0)</f>
        <v>0</v>
      </c>
      <c r="L56" s="7">
        <f>IF('[1]Personale di appoggio'!L57="X",1,0)</f>
        <v>0</v>
      </c>
      <c r="M56" s="7">
        <f>IF('[1]Personale di appoggio'!M57="X",1,0)</f>
        <v>0</v>
      </c>
      <c r="N56" s="3"/>
      <c r="O56" s="3"/>
      <c r="P56" s="11" t="str">
        <f>IF('[1]Personale di appoggio'!$P57="","",'[1]Personale di appoggio'!$P57)</f>
        <v/>
      </c>
      <c r="Q56" s="4" t="s">
        <v>6</v>
      </c>
      <c r="R56" s="4">
        <f t="shared" si="0"/>
        <v>4</v>
      </c>
    </row>
    <row r="57" spans="1:18" ht="31.5" x14ac:dyDescent="0.45">
      <c r="A57" s="9">
        <v>57</v>
      </c>
      <c r="B57" s="2" t="s">
        <v>316</v>
      </c>
      <c r="C57" s="3" t="s">
        <v>317</v>
      </c>
      <c r="D57" s="3" t="s">
        <v>318</v>
      </c>
      <c r="E57" s="4">
        <f>IFERROR(INDEX([1]uot!$A$2:$A$40, MATCH("*"&amp;'[1]Personale di appoggio'!$D58&amp;"*", [1]uot!$B$2:$B$40, 0)), "Valore non trovato")</f>
        <v>28</v>
      </c>
      <c r="F57" s="4">
        <f>IF(TRIM('[1]Personale di appoggio'!$F58)=TRIM([1]qualifiche!$E$2),[1]qualifiche!$D$2,
IF(TRIM('[1]Personale di appoggio'!$F58)=TRIM([1]qualifiche!$E$3),[1]qualifiche!$D$3,
IF(TRIM('[1]Personale di appoggio'!$F58)=TRIM([1]qualifiche!$E$4),[1]qualifiche!$D$4,
IF(TRIM('[1]Personale di appoggio'!$F58)=TRIM([1]qualifiche!$E$5),[1]qualifiche!$D$5,
IF(TRIM('[1]Personale di appoggio'!$F58)=TRIM([1]qualifiche!$E$6),[1]qualifiche!$D$6,
IF(TRIM('[1]Personale di appoggio'!$F58)=TRIM([1]qualifiche!$E$7),[1]qualifiche!$D$7,
IF(TRIM('[1]Personale di appoggio'!$F58)=TRIM([1]qualifiche!$E$8),[1]qualifiche!$D$8,
IF(TRIM('[1]Personale di appoggio'!$F58)=TRIM([1]qualifiche!$E$9),[1]qualifiche!$D$9,
IF(TRIM('[1]Personale di appoggio'!$F58)=TRIM([1]qualifiche!$E$10),[1]qualifiche!$D$10,
IF(TRIM('[1]Personale di appoggio'!$F58)=TRIM([1]qualifiche!$E$11),[1]qualifiche!$D$11,""))))))))))</f>
        <v>7</v>
      </c>
      <c r="G57" s="5" t="s">
        <v>319</v>
      </c>
      <c r="H57" s="5" t="s">
        <v>320</v>
      </c>
      <c r="I57" s="6" t="s">
        <v>321</v>
      </c>
      <c r="J57" s="7">
        <f>IF('[1]Personale di appoggio'!J58="X",1,0)</f>
        <v>0</v>
      </c>
      <c r="K57" s="7">
        <f>IF('[1]Personale di appoggio'!K58="X",1,0)</f>
        <v>0</v>
      </c>
      <c r="L57" s="7">
        <f>IF('[1]Personale di appoggio'!L58="X",1,0)</f>
        <v>0</v>
      </c>
      <c r="M57" s="7">
        <f>IF('[1]Personale di appoggio'!M58="X",1,0)</f>
        <v>0</v>
      </c>
      <c r="N57" s="3"/>
      <c r="O57" s="3"/>
      <c r="P57" s="11" t="str">
        <f>IF('[1]Personale di appoggio'!$P58="","",'[1]Personale di appoggio'!$P58)</f>
        <v/>
      </c>
      <c r="Q57" s="4" t="s">
        <v>6</v>
      </c>
      <c r="R57" s="4">
        <f t="shared" si="0"/>
        <v>4</v>
      </c>
    </row>
    <row r="58" spans="1:18" ht="409.5" x14ac:dyDescent="0.45">
      <c r="A58" s="9">
        <v>58</v>
      </c>
      <c r="B58" s="2" t="s">
        <v>322</v>
      </c>
      <c r="C58" s="3" t="s">
        <v>323</v>
      </c>
      <c r="D58" s="3" t="s">
        <v>324</v>
      </c>
      <c r="E58" s="4">
        <f>IFERROR(INDEX([1]uot!$A$2:$A$40, MATCH("*"&amp;'[1]Personale di appoggio'!$D59&amp;"*", [1]uot!$B$2:$B$40, 0)), "Valore non trovato")</f>
        <v>6</v>
      </c>
      <c r="F58" s="4">
        <f>IF(TRIM('[1]Personale di appoggio'!$F59)=TRIM([1]qualifiche!$E$2),[1]qualifiche!$D$2,
IF(TRIM('[1]Personale di appoggio'!$F59)=TRIM([1]qualifiche!$E$3),[1]qualifiche!$D$3,
IF(TRIM('[1]Personale di appoggio'!$F59)=TRIM([1]qualifiche!$E$4),[1]qualifiche!$D$4,
IF(TRIM('[1]Personale di appoggio'!$F59)=TRIM([1]qualifiche!$E$5),[1]qualifiche!$D$5,
IF(TRIM('[1]Personale di appoggio'!$F59)=TRIM([1]qualifiche!$E$6),[1]qualifiche!$D$6,
IF(TRIM('[1]Personale di appoggio'!$F59)=TRIM([1]qualifiche!$E$7),[1]qualifiche!$D$7,
IF(TRIM('[1]Personale di appoggio'!$F59)=TRIM([1]qualifiche!$E$8),[1]qualifiche!$D$8,
IF(TRIM('[1]Personale di appoggio'!$F59)=TRIM([1]qualifiche!$E$9),[1]qualifiche!$D$9,
IF(TRIM('[1]Personale di appoggio'!$F59)=TRIM([1]qualifiche!$E$10),[1]qualifiche!$D$10,
IF(TRIM('[1]Personale di appoggio'!$F59)=TRIM([1]qualifiche!$E$11),[1]qualifiche!$D$11,""))))))))))</f>
        <v>1</v>
      </c>
      <c r="G58" s="5" t="s">
        <v>325</v>
      </c>
      <c r="H58" s="5" t="s">
        <v>326</v>
      </c>
      <c r="I58" s="6" t="s">
        <v>327</v>
      </c>
      <c r="J58" s="7">
        <f>IF('[1]Personale di appoggio'!J59="X",1,0)</f>
        <v>0</v>
      </c>
      <c r="K58" s="7">
        <f>IF('[1]Personale di appoggio'!K59="X",1,0)</f>
        <v>0</v>
      </c>
      <c r="L58" s="7">
        <f>IF('[1]Personale di appoggio'!L59="X",1,0)</f>
        <v>0</v>
      </c>
      <c r="M58" s="7">
        <f>IF('[1]Personale di appoggio'!M59="X",1,0)</f>
        <v>0</v>
      </c>
      <c r="N58" s="3"/>
      <c r="O58" s="3"/>
      <c r="P58" s="11" t="str">
        <f>IF('[1]Personale di appoggio'!$P59="","",'[1]Personale di appoggio'!$P59)</f>
        <v>NOTA per UOT di Bologna da parte del Direttore (aggiornamento del 24/05/2024): 
Nonostante l’assenza di verifiche a campione di Impianti di terra e protezione dalle scariche atmosferiche_il settore maggiormente in sofferenza è quello degli Apparecchi a Pr</v>
      </c>
      <c r="Q58" s="4" t="s">
        <v>6</v>
      </c>
      <c r="R58" s="4">
        <f t="shared" si="0"/>
        <v>4</v>
      </c>
    </row>
    <row r="59" spans="1:18" ht="31.5" x14ac:dyDescent="0.45">
      <c r="A59" s="9">
        <v>59</v>
      </c>
      <c r="B59" s="2" t="s">
        <v>328</v>
      </c>
      <c r="C59" s="3" t="s">
        <v>329</v>
      </c>
      <c r="D59" s="3" t="s">
        <v>187</v>
      </c>
      <c r="E59" s="4">
        <f>IFERROR(INDEX([1]uot!$A$2:$A$40, MATCH("*"&amp;'[1]Personale di appoggio'!$D60&amp;"*", [1]uot!$B$2:$B$40, 0)), "Valore non trovato")</f>
        <v>6</v>
      </c>
      <c r="F59" s="4">
        <f>IF(TRIM('[1]Personale di appoggio'!$F60)=TRIM([1]qualifiche!$E$2),[1]qualifiche!$D$2,
IF(TRIM('[1]Personale di appoggio'!$F60)=TRIM([1]qualifiche!$E$3),[1]qualifiche!$D$3,
IF(TRIM('[1]Personale di appoggio'!$F60)=TRIM([1]qualifiche!$E$4),[1]qualifiche!$D$4,
IF(TRIM('[1]Personale di appoggio'!$F60)=TRIM([1]qualifiche!$E$5),[1]qualifiche!$D$5,
IF(TRIM('[1]Personale di appoggio'!$F60)=TRIM([1]qualifiche!$E$6),[1]qualifiche!$D$6,
IF(TRIM('[1]Personale di appoggio'!$F60)=TRIM([1]qualifiche!$E$7),[1]qualifiche!$D$7,
IF(TRIM('[1]Personale di appoggio'!$F60)=TRIM([1]qualifiche!$E$8),[1]qualifiche!$D$8,
IF(TRIM('[1]Personale di appoggio'!$F60)=TRIM([1]qualifiche!$E$9),[1]qualifiche!$D$9,
IF(TRIM('[1]Personale di appoggio'!$F60)=TRIM([1]qualifiche!$E$10),[1]qualifiche!$D$10,
IF(TRIM('[1]Personale di appoggio'!$F60)=TRIM([1]qualifiche!$E$11),[1]qualifiche!$D$11,""))))))))))</f>
        <v>2</v>
      </c>
      <c r="G59" s="5" t="s">
        <v>330</v>
      </c>
      <c r="H59" s="5" t="s">
        <v>331</v>
      </c>
      <c r="I59" s="6" t="s">
        <v>332</v>
      </c>
      <c r="J59" s="7">
        <f>IF('[1]Personale di appoggio'!J60="X",1,0)</f>
        <v>0</v>
      </c>
      <c r="K59" s="7">
        <f>IF('[1]Personale di appoggio'!K60="X",1,0)</f>
        <v>1</v>
      </c>
      <c r="L59" s="7">
        <f>IF('[1]Personale di appoggio'!L60="X",1,0)</f>
        <v>1</v>
      </c>
      <c r="M59" s="7">
        <f>IF('[1]Personale di appoggio'!M60="X",1,0)</f>
        <v>0</v>
      </c>
      <c r="N59" s="3"/>
      <c r="O59" s="3"/>
      <c r="P59" s="11" t="str">
        <f>IF('[1]Personale di appoggio'!$P60="","",'[1]Personale di appoggio'!$P60)</f>
        <v/>
      </c>
      <c r="Q59" s="4" t="s">
        <v>6</v>
      </c>
      <c r="R59" s="4">
        <f t="shared" si="0"/>
        <v>2</v>
      </c>
    </row>
    <row r="60" spans="1:18" ht="173.25" x14ac:dyDescent="0.45">
      <c r="A60" s="9">
        <v>60</v>
      </c>
      <c r="B60" s="2" t="s">
        <v>333</v>
      </c>
      <c r="C60" s="3" t="s">
        <v>334</v>
      </c>
      <c r="D60" s="3" t="s">
        <v>69</v>
      </c>
      <c r="E60" s="4">
        <f>IFERROR(INDEX([1]uot!$A$2:$A$40, MATCH("*"&amp;'[1]Personale di appoggio'!$D61&amp;"*", [1]uot!$B$2:$B$40, 0)), "Valore non trovato")</f>
        <v>6</v>
      </c>
      <c r="F60" s="4">
        <f>IF(TRIM('[1]Personale di appoggio'!$F61)=TRIM([1]qualifiche!$E$2),[1]qualifiche!$D$2,
IF(TRIM('[1]Personale di appoggio'!$F61)=TRIM([1]qualifiche!$E$3),[1]qualifiche!$D$3,
IF(TRIM('[1]Personale di appoggio'!$F61)=TRIM([1]qualifiche!$E$4),[1]qualifiche!$D$4,
IF(TRIM('[1]Personale di appoggio'!$F61)=TRIM([1]qualifiche!$E$5),[1]qualifiche!$D$5,
IF(TRIM('[1]Personale di appoggio'!$F61)=TRIM([1]qualifiche!$E$6),[1]qualifiche!$D$6,
IF(TRIM('[1]Personale di appoggio'!$F61)=TRIM([1]qualifiche!$E$7),[1]qualifiche!$D$7,
IF(TRIM('[1]Personale di appoggio'!$F61)=TRIM([1]qualifiche!$E$8),[1]qualifiche!$D$8,
IF(TRIM('[1]Personale di appoggio'!$F61)=TRIM([1]qualifiche!$E$9),[1]qualifiche!$D$9,
IF(TRIM('[1]Personale di appoggio'!$F61)=TRIM([1]qualifiche!$E$10),[1]qualifiche!$D$10,
IF(TRIM('[1]Personale di appoggio'!$F61)=TRIM([1]qualifiche!$E$11),[1]qualifiche!$D$11,""))))))))))</f>
        <v>2</v>
      </c>
      <c r="G60" s="5" t="s">
        <v>335</v>
      </c>
      <c r="H60" s="5" t="s">
        <v>336</v>
      </c>
      <c r="I60" s="6" t="s">
        <v>337</v>
      </c>
      <c r="J60" s="7">
        <f>IF('[1]Personale di appoggio'!J61="X",1,0)</f>
        <v>1</v>
      </c>
      <c r="K60" s="7">
        <f>IF('[1]Personale di appoggio'!K61="X",1,0)</f>
        <v>1</v>
      </c>
      <c r="L60" s="7">
        <f>IF('[1]Personale di appoggio'!L61="X",1,0)</f>
        <v>1</v>
      </c>
      <c r="M60" s="7">
        <f>IF('[1]Personale di appoggio'!M61="X",1,0)</f>
        <v>0</v>
      </c>
      <c r="N60" s="3"/>
      <c r="O60" s="3"/>
      <c r="P60" s="11" t="str">
        <f>IF('[1]Personale di appoggio'!$P61="","",'[1]Personale di appoggio'!$P61)</f>
        <v xml:space="preserve">Da settembre 2024 (data presunta) trasferimento presso UOT di Firenze </v>
      </c>
      <c r="Q60" s="4" t="s">
        <v>6</v>
      </c>
      <c r="R60" s="4">
        <f t="shared" si="0"/>
        <v>2</v>
      </c>
    </row>
    <row r="61" spans="1:18" ht="57" x14ac:dyDescent="0.45">
      <c r="A61" s="9">
        <v>61</v>
      </c>
      <c r="B61" s="2" t="s">
        <v>338</v>
      </c>
      <c r="C61" s="3" t="s">
        <v>339</v>
      </c>
      <c r="D61" s="3" t="s">
        <v>340</v>
      </c>
      <c r="E61" s="4">
        <f>IFERROR(INDEX([1]uot!$A$2:$A$40, MATCH("*"&amp;'[1]Personale di appoggio'!$D62&amp;"*", [1]uot!$B$2:$B$40, 0)), "Valore non trovato")</f>
        <v>6</v>
      </c>
      <c r="F61" s="4">
        <f>IF(TRIM('[1]Personale di appoggio'!$F62)=TRIM([1]qualifiche!$E$2),[1]qualifiche!$D$2,
IF(TRIM('[1]Personale di appoggio'!$F62)=TRIM([1]qualifiche!$E$3),[1]qualifiche!$D$3,
IF(TRIM('[1]Personale di appoggio'!$F62)=TRIM([1]qualifiche!$E$4),[1]qualifiche!$D$4,
IF(TRIM('[1]Personale di appoggio'!$F62)=TRIM([1]qualifiche!$E$5),[1]qualifiche!$D$5,
IF(TRIM('[1]Personale di appoggio'!$F62)=TRIM([1]qualifiche!$E$6),[1]qualifiche!$D$6,
IF(TRIM('[1]Personale di appoggio'!$F62)=TRIM([1]qualifiche!$E$7),[1]qualifiche!$D$7,
IF(TRIM('[1]Personale di appoggio'!$F62)=TRIM([1]qualifiche!$E$8),[1]qualifiche!$D$8,
IF(TRIM('[1]Personale di appoggio'!$F62)=TRIM([1]qualifiche!$E$9),[1]qualifiche!$D$9,
IF(TRIM('[1]Personale di appoggio'!$F62)=TRIM([1]qualifiche!$E$10),[1]qualifiche!$D$10,
IF(TRIM('[1]Personale di appoggio'!$F62)=TRIM([1]qualifiche!$E$11),[1]qualifiche!$D$11,""))))))))))</f>
        <v>2</v>
      </c>
      <c r="G61" s="5" t="s">
        <v>341</v>
      </c>
      <c r="H61" s="5" t="s">
        <v>342</v>
      </c>
      <c r="I61" s="6" t="s">
        <v>343</v>
      </c>
      <c r="J61" s="7">
        <f>IF('[1]Personale di appoggio'!J62="X",1,0)</f>
        <v>0</v>
      </c>
      <c r="K61" s="7">
        <f>IF('[1]Personale di appoggio'!K62="X",1,0)</f>
        <v>1</v>
      </c>
      <c r="L61" s="7">
        <f>IF('[1]Personale di appoggio'!L62="X",1,0)</f>
        <v>1</v>
      </c>
      <c r="M61" s="7">
        <f>IF('[1]Personale di appoggio'!M62="X",1,0)</f>
        <v>0</v>
      </c>
      <c r="N61" s="3"/>
      <c r="O61" s="3"/>
      <c r="P61" s="11" t="str">
        <f>IF('[1]Personale di appoggio'!$P62="","",'[1]Personale di appoggio'!$P62)</f>
        <v/>
      </c>
      <c r="Q61" s="4" t="s">
        <v>6</v>
      </c>
      <c r="R61" s="4">
        <f t="shared" si="0"/>
        <v>2</v>
      </c>
    </row>
    <row r="62" spans="1:18" ht="31.5" x14ac:dyDescent="0.45">
      <c r="A62" s="9">
        <v>62</v>
      </c>
      <c r="B62" s="2" t="s">
        <v>344</v>
      </c>
      <c r="C62" s="3" t="s">
        <v>345</v>
      </c>
      <c r="D62" s="3" t="s">
        <v>346</v>
      </c>
      <c r="E62" s="4">
        <f>IFERROR(INDEX([1]uot!$A$2:$A$40, MATCH("*"&amp;'[1]Personale di appoggio'!$D63&amp;"*", [1]uot!$B$2:$B$40, 0)), "Valore non trovato")</f>
        <v>6</v>
      </c>
      <c r="F62" s="4">
        <f>IF(TRIM('[1]Personale di appoggio'!$F63)=TRIM([1]qualifiche!$E$2),[1]qualifiche!$D$2,
IF(TRIM('[1]Personale di appoggio'!$F63)=TRIM([1]qualifiche!$E$3),[1]qualifiche!$D$3,
IF(TRIM('[1]Personale di appoggio'!$F63)=TRIM([1]qualifiche!$E$4),[1]qualifiche!$D$4,
IF(TRIM('[1]Personale di appoggio'!$F63)=TRIM([1]qualifiche!$E$5),[1]qualifiche!$D$5,
IF(TRIM('[1]Personale di appoggio'!$F63)=TRIM([1]qualifiche!$E$6),[1]qualifiche!$D$6,
IF(TRIM('[1]Personale di appoggio'!$F63)=TRIM([1]qualifiche!$E$7),[1]qualifiche!$D$7,
IF(TRIM('[1]Personale di appoggio'!$F63)=TRIM([1]qualifiche!$E$8),[1]qualifiche!$D$8,
IF(TRIM('[1]Personale di appoggio'!$F63)=TRIM([1]qualifiche!$E$9),[1]qualifiche!$D$9,
IF(TRIM('[1]Personale di appoggio'!$F63)=TRIM([1]qualifiche!$E$10),[1]qualifiche!$D$10,
IF(TRIM('[1]Personale di appoggio'!$F63)=TRIM([1]qualifiche!$E$11),[1]qualifiche!$D$11,""))))))))))</f>
        <v>3</v>
      </c>
      <c r="G62" s="5" t="s">
        <v>347</v>
      </c>
      <c r="H62" s="5" t="s">
        <v>348</v>
      </c>
      <c r="I62" s="6" t="s">
        <v>349</v>
      </c>
      <c r="J62" s="7">
        <f>IF('[1]Personale di appoggio'!J63="X",1,0)</f>
        <v>1</v>
      </c>
      <c r="K62" s="7">
        <f>IF('[1]Personale di appoggio'!K63="X",1,0)</f>
        <v>0</v>
      </c>
      <c r="L62" s="7">
        <f>IF('[1]Personale di appoggio'!L63="X",1,0)</f>
        <v>0</v>
      </c>
      <c r="M62" s="7">
        <f>IF('[1]Personale di appoggio'!M63="X",1,0)</f>
        <v>0</v>
      </c>
      <c r="N62" s="3"/>
      <c r="O62" s="3"/>
      <c r="P62" s="11" t="str">
        <f>IF('[1]Personale di appoggio'!$P63="","",'[1]Personale di appoggio'!$P63)</f>
        <v/>
      </c>
      <c r="Q62" s="4" t="s">
        <v>6</v>
      </c>
      <c r="R62" s="4">
        <f t="shared" si="0"/>
        <v>2</v>
      </c>
    </row>
    <row r="63" spans="1:18" ht="31.5" x14ac:dyDescent="0.45">
      <c r="A63" s="9">
        <v>63</v>
      </c>
      <c r="B63" s="2" t="s">
        <v>350</v>
      </c>
      <c r="C63" s="3" t="s">
        <v>351</v>
      </c>
      <c r="D63" s="3" t="s">
        <v>352</v>
      </c>
      <c r="E63" s="4">
        <f>IFERROR(INDEX([1]uot!$A$2:$A$40, MATCH("*"&amp;'[1]Personale di appoggio'!$D64&amp;"*", [1]uot!$B$2:$B$40, 0)), "Valore non trovato")</f>
        <v>6</v>
      </c>
      <c r="F63" s="4">
        <f>IF(TRIM('[1]Personale di appoggio'!$F64)=TRIM([1]qualifiche!$E$2),[1]qualifiche!$D$2,
IF(TRIM('[1]Personale di appoggio'!$F64)=TRIM([1]qualifiche!$E$3),[1]qualifiche!$D$3,
IF(TRIM('[1]Personale di appoggio'!$F64)=TRIM([1]qualifiche!$E$4),[1]qualifiche!$D$4,
IF(TRIM('[1]Personale di appoggio'!$F64)=TRIM([1]qualifiche!$E$5),[1]qualifiche!$D$5,
IF(TRIM('[1]Personale di appoggio'!$F64)=TRIM([1]qualifiche!$E$6),[1]qualifiche!$D$6,
IF(TRIM('[1]Personale di appoggio'!$F64)=TRIM([1]qualifiche!$E$7),[1]qualifiche!$D$7,
IF(TRIM('[1]Personale di appoggio'!$F64)=TRIM([1]qualifiche!$E$8),[1]qualifiche!$D$8,
IF(TRIM('[1]Personale di appoggio'!$F64)=TRIM([1]qualifiche!$E$9),[1]qualifiche!$D$9,
IF(TRIM('[1]Personale di appoggio'!$F64)=TRIM([1]qualifiche!$E$10),[1]qualifiche!$D$10,
IF(TRIM('[1]Personale di appoggio'!$F64)=TRIM([1]qualifiche!$E$11),[1]qualifiche!$D$11,""))))))))))</f>
        <v>3</v>
      </c>
      <c r="G63" s="5" t="s">
        <v>353</v>
      </c>
      <c r="H63" s="5" t="s">
        <v>354</v>
      </c>
      <c r="I63" s="6" t="s">
        <v>355</v>
      </c>
      <c r="J63" s="7">
        <f>IF('[1]Personale di appoggio'!J64="X",1,0)</f>
        <v>1</v>
      </c>
      <c r="K63" s="7">
        <f>IF('[1]Personale di appoggio'!K64="X",1,0)</f>
        <v>0</v>
      </c>
      <c r="L63" s="7">
        <f>IF('[1]Personale di appoggio'!L64="X",1,0)</f>
        <v>1</v>
      </c>
      <c r="M63" s="7">
        <f>IF('[1]Personale di appoggio'!M64="X",1,0)</f>
        <v>0</v>
      </c>
      <c r="N63" s="3"/>
      <c r="O63" s="3"/>
      <c r="P63" s="11" t="str">
        <f>IF('[1]Personale di appoggio'!$P64="","",'[1]Personale di appoggio'!$P64)</f>
        <v/>
      </c>
      <c r="Q63" s="4" t="s">
        <v>6</v>
      </c>
      <c r="R63" s="4">
        <f t="shared" si="0"/>
        <v>2</v>
      </c>
    </row>
    <row r="64" spans="1:18" ht="378" x14ac:dyDescent="0.45">
      <c r="A64" s="9">
        <v>64</v>
      </c>
      <c r="B64" s="2" t="s">
        <v>356</v>
      </c>
      <c r="C64" s="3" t="s">
        <v>357</v>
      </c>
      <c r="D64" s="3" t="s">
        <v>256</v>
      </c>
      <c r="E64" s="4">
        <f>IFERROR(INDEX([1]uot!$A$2:$A$40, MATCH("*"&amp;'[1]Personale di appoggio'!$D65&amp;"*", [1]uot!$B$2:$B$40, 0)), "Valore non trovato")</f>
        <v>6</v>
      </c>
      <c r="F64" s="4">
        <f>IF(TRIM('[1]Personale di appoggio'!$F65)=TRIM([1]qualifiche!$E$2),[1]qualifiche!$D$2,
IF(TRIM('[1]Personale di appoggio'!$F65)=TRIM([1]qualifiche!$E$3),[1]qualifiche!$D$3,
IF(TRIM('[1]Personale di appoggio'!$F65)=TRIM([1]qualifiche!$E$4),[1]qualifiche!$D$4,
IF(TRIM('[1]Personale di appoggio'!$F65)=TRIM([1]qualifiche!$E$5),[1]qualifiche!$D$5,
IF(TRIM('[1]Personale di appoggio'!$F65)=TRIM([1]qualifiche!$E$6),[1]qualifiche!$D$6,
IF(TRIM('[1]Personale di appoggio'!$F65)=TRIM([1]qualifiche!$E$7),[1]qualifiche!$D$7,
IF(TRIM('[1]Personale di appoggio'!$F65)=TRIM([1]qualifiche!$E$8),[1]qualifiche!$D$8,
IF(TRIM('[1]Personale di appoggio'!$F65)=TRIM([1]qualifiche!$E$9),[1]qualifiche!$D$9,
IF(TRIM('[1]Personale di appoggio'!$F65)=TRIM([1]qualifiche!$E$10),[1]qualifiche!$D$10,
IF(TRIM('[1]Personale di appoggio'!$F65)=TRIM([1]qualifiche!$E$11),[1]qualifiche!$D$11,""))))))))))</f>
        <v>4</v>
      </c>
      <c r="G64" s="5" t="s">
        <v>358</v>
      </c>
      <c r="H64" s="5" t="s">
        <v>359</v>
      </c>
      <c r="I64" s="6" t="s">
        <v>360</v>
      </c>
      <c r="J64" s="7">
        <f>IF('[1]Personale di appoggio'!J65="X",1,0)</f>
        <v>1</v>
      </c>
      <c r="K64" s="7">
        <f>IF('[1]Personale di appoggio'!K65="X",1,0)</f>
        <v>0</v>
      </c>
      <c r="L64" s="7">
        <f>IF('[1]Personale di appoggio'!L65="X",1,0)</f>
        <v>0</v>
      </c>
      <c r="M64" s="7">
        <f>IF('[1]Personale di appoggio'!M65="X",1,0)</f>
        <v>0</v>
      </c>
      <c r="N64" s="3"/>
      <c r="O64" s="3"/>
      <c r="P64" s="11" t="str">
        <f>IF('[1]Personale di appoggio'!$P65="","",'[1]Personale di appoggio'!$P65)</f>
        <v>N.B. effettua ridotta ed esclusiva attività di esame progetto degli Impianti di Riscaldamento_in quanto esonerato dalle verifiche esterne dal medico competente per motivi di salute</v>
      </c>
      <c r="Q64" s="4" t="s">
        <v>6</v>
      </c>
      <c r="R64" s="4">
        <f t="shared" si="0"/>
        <v>2</v>
      </c>
    </row>
    <row r="65" spans="1:18" ht="31.5" x14ac:dyDescent="0.45">
      <c r="A65" s="9">
        <v>65</v>
      </c>
      <c r="B65" s="2" t="s">
        <v>361</v>
      </c>
      <c r="C65" s="3" t="s">
        <v>362</v>
      </c>
      <c r="D65" s="3" t="s">
        <v>363</v>
      </c>
      <c r="E65" s="4">
        <f>IFERROR(INDEX([1]uot!$A$2:$A$40, MATCH("*"&amp;'[1]Personale di appoggio'!$D66&amp;"*", [1]uot!$B$2:$B$40, 0)), "Valore non trovato")</f>
        <v>6</v>
      </c>
      <c r="F65" s="4">
        <f>IF(TRIM('[1]Personale di appoggio'!$F66)=TRIM([1]qualifiche!$E$2),[1]qualifiche!$D$2,
IF(TRIM('[1]Personale di appoggio'!$F66)=TRIM([1]qualifiche!$E$3),[1]qualifiche!$D$3,
IF(TRIM('[1]Personale di appoggio'!$F66)=TRIM([1]qualifiche!$E$4),[1]qualifiche!$D$4,
IF(TRIM('[1]Personale di appoggio'!$F66)=TRIM([1]qualifiche!$E$5),[1]qualifiche!$D$5,
IF(TRIM('[1]Personale di appoggio'!$F66)=TRIM([1]qualifiche!$E$6),[1]qualifiche!$D$6,
IF(TRIM('[1]Personale di appoggio'!$F66)=TRIM([1]qualifiche!$E$7),[1]qualifiche!$D$7,
IF(TRIM('[1]Personale di appoggio'!$F66)=TRIM([1]qualifiche!$E$8),[1]qualifiche!$D$8,
IF(TRIM('[1]Personale di appoggio'!$F66)=TRIM([1]qualifiche!$E$9),[1]qualifiche!$D$9,
IF(TRIM('[1]Personale di appoggio'!$F66)=TRIM([1]qualifiche!$E$10),[1]qualifiche!$D$10,
IF(TRIM('[1]Personale di appoggio'!$F66)=TRIM([1]qualifiche!$E$11),[1]qualifiche!$D$11,""))))))))))</f>
        <v>7</v>
      </c>
      <c r="G65" s="5" t="s">
        <v>364</v>
      </c>
      <c r="H65" s="5" t="s">
        <v>365</v>
      </c>
      <c r="I65" s="6" t="s">
        <v>366</v>
      </c>
      <c r="J65" s="7">
        <f>IF('[1]Personale di appoggio'!J66="X",1,0)</f>
        <v>0</v>
      </c>
      <c r="K65" s="7">
        <f>IF('[1]Personale di appoggio'!K66="X",1,0)</f>
        <v>0</v>
      </c>
      <c r="L65" s="7">
        <f>IF('[1]Personale di appoggio'!L66="X",1,0)</f>
        <v>0</v>
      </c>
      <c r="M65" s="7">
        <f>IF('[1]Personale di appoggio'!M66="X",1,0)</f>
        <v>0</v>
      </c>
      <c r="N65" s="3"/>
      <c r="O65" s="3"/>
      <c r="P65" s="11" t="str">
        <f>IF('[1]Personale di appoggio'!$P66="","",'[1]Personale di appoggio'!$P66)</f>
        <v/>
      </c>
      <c r="Q65" s="4" t="s">
        <v>6</v>
      </c>
      <c r="R65" s="4">
        <f t="shared" si="0"/>
        <v>4</v>
      </c>
    </row>
    <row r="66" spans="1:18" ht="31.5" x14ac:dyDescent="0.45">
      <c r="A66" s="9">
        <v>66</v>
      </c>
      <c r="B66" s="2" t="s">
        <v>367</v>
      </c>
      <c r="C66" s="3" t="s">
        <v>368</v>
      </c>
      <c r="D66" s="3" t="s">
        <v>211</v>
      </c>
      <c r="E66" s="4">
        <f>IFERROR(INDEX([1]uot!$A$2:$A$40, MATCH("*"&amp;'[1]Personale di appoggio'!$D67&amp;"*", [1]uot!$B$2:$B$40, 0)), "Valore non trovato")</f>
        <v>6</v>
      </c>
      <c r="F66" s="4">
        <f>IF(TRIM('[1]Personale di appoggio'!$F67)=TRIM([1]qualifiche!$E$2),[1]qualifiche!$D$2,
IF(TRIM('[1]Personale di appoggio'!$F67)=TRIM([1]qualifiche!$E$3),[1]qualifiche!$D$3,
IF(TRIM('[1]Personale di appoggio'!$F67)=TRIM([1]qualifiche!$E$4),[1]qualifiche!$D$4,
IF(TRIM('[1]Personale di appoggio'!$F67)=TRIM([1]qualifiche!$E$5),[1]qualifiche!$D$5,
IF(TRIM('[1]Personale di appoggio'!$F67)=TRIM([1]qualifiche!$E$6),[1]qualifiche!$D$6,
IF(TRIM('[1]Personale di appoggio'!$F67)=TRIM([1]qualifiche!$E$7),[1]qualifiche!$D$7,
IF(TRIM('[1]Personale di appoggio'!$F67)=TRIM([1]qualifiche!$E$8),[1]qualifiche!$D$8,
IF(TRIM('[1]Personale di appoggio'!$F67)=TRIM([1]qualifiche!$E$9),[1]qualifiche!$D$9,
IF(TRIM('[1]Personale di appoggio'!$F67)=TRIM([1]qualifiche!$E$10),[1]qualifiche!$D$10,
IF(TRIM('[1]Personale di appoggio'!$F67)=TRIM([1]qualifiche!$E$11),[1]qualifiche!$D$11,""))))))))))</f>
        <v>7</v>
      </c>
      <c r="G66" s="5" t="s">
        <v>369</v>
      </c>
      <c r="H66" s="5" t="s">
        <v>370</v>
      </c>
      <c r="I66" s="6" t="s">
        <v>371</v>
      </c>
      <c r="J66" s="7">
        <f>IF('[1]Personale di appoggio'!J67="X",1,0)</f>
        <v>0</v>
      </c>
      <c r="K66" s="7">
        <f>IF('[1]Personale di appoggio'!K67="X",1,0)</f>
        <v>0</v>
      </c>
      <c r="L66" s="7">
        <f>IF('[1]Personale di appoggio'!L67="X",1,0)</f>
        <v>0</v>
      </c>
      <c r="M66" s="7">
        <f>IF('[1]Personale di appoggio'!M67="X",1,0)</f>
        <v>0</v>
      </c>
      <c r="N66" s="3"/>
      <c r="O66" s="3"/>
      <c r="P66" s="11" t="str">
        <f>IF('[1]Personale di appoggio'!$P67="","",'[1]Personale di appoggio'!$P67)</f>
        <v/>
      </c>
      <c r="Q66" s="4" t="s">
        <v>6</v>
      </c>
      <c r="R66" s="4">
        <f t="shared" ref="R66:R129" si="1">IF(COUNTIF($J66:$M66,"1")= 4, 1, IF(COUNTIF($J66:$M66,"1")&gt;0,2,4))</f>
        <v>4</v>
      </c>
    </row>
    <row r="67" spans="1:18" ht="31.5" x14ac:dyDescent="0.45">
      <c r="A67" s="9">
        <v>67</v>
      </c>
      <c r="B67" s="2" t="s">
        <v>372</v>
      </c>
      <c r="C67" s="3" t="s">
        <v>373</v>
      </c>
      <c r="D67" s="3" t="s">
        <v>222</v>
      </c>
      <c r="E67" s="4">
        <f>IFERROR(INDEX([1]uot!$A$2:$A$40, MATCH("*"&amp;'[1]Personale di appoggio'!$D68&amp;"*", [1]uot!$B$2:$B$40, 0)), "Valore non trovato")</f>
        <v>6</v>
      </c>
      <c r="F67" s="4">
        <f>IF(TRIM('[1]Personale di appoggio'!$F68)=TRIM([1]qualifiche!$E$2),[1]qualifiche!$D$2,
IF(TRIM('[1]Personale di appoggio'!$F68)=TRIM([1]qualifiche!$E$3),[1]qualifiche!$D$3,
IF(TRIM('[1]Personale di appoggio'!$F68)=TRIM([1]qualifiche!$E$4),[1]qualifiche!$D$4,
IF(TRIM('[1]Personale di appoggio'!$F68)=TRIM([1]qualifiche!$E$5),[1]qualifiche!$D$5,
IF(TRIM('[1]Personale di appoggio'!$F68)=TRIM([1]qualifiche!$E$6),[1]qualifiche!$D$6,
IF(TRIM('[1]Personale di appoggio'!$F68)=TRIM([1]qualifiche!$E$7),[1]qualifiche!$D$7,
IF(TRIM('[1]Personale di appoggio'!$F68)=TRIM([1]qualifiche!$E$8),[1]qualifiche!$D$8,
IF(TRIM('[1]Personale di appoggio'!$F68)=TRIM([1]qualifiche!$E$9),[1]qualifiche!$D$9,
IF(TRIM('[1]Personale di appoggio'!$F68)=TRIM([1]qualifiche!$E$10),[1]qualifiche!$D$10,
IF(TRIM('[1]Personale di appoggio'!$F68)=TRIM([1]qualifiche!$E$11),[1]qualifiche!$D$11,""))))))))))</f>
        <v>7</v>
      </c>
      <c r="G67" s="5" t="s">
        <v>374</v>
      </c>
      <c r="H67" s="5" t="s">
        <v>375</v>
      </c>
      <c r="I67" s="13" t="s">
        <v>376</v>
      </c>
      <c r="J67" s="7">
        <f>IF('[1]Personale di appoggio'!J68="X",1,0)</f>
        <v>0</v>
      </c>
      <c r="K67" s="7">
        <f>IF('[1]Personale di appoggio'!K68="X",1,0)</f>
        <v>0</v>
      </c>
      <c r="L67" s="7">
        <f>IF('[1]Personale di appoggio'!L68="X",1,0)</f>
        <v>0</v>
      </c>
      <c r="M67" s="7">
        <f>IF('[1]Personale di appoggio'!M68="X",1,0)</f>
        <v>0</v>
      </c>
      <c r="N67" s="3"/>
      <c r="O67" s="3"/>
      <c r="P67" s="11" t="str">
        <f>IF('[1]Personale di appoggio'!$P68="","",'[1]Personale di appoggio'!$P68)</f>
        <v/>
      </c>
      <c r="Q67" s="4" t="s">
        <v>6</v>
      </c>
      <c r="R67" s="4">
        <f t="shared" si="1"/>
        <v>4</v>
      </c>
    </row>
    <row r="68" spans="1:18" ht="236.25" x14ac:dyDescent="0.45">
      <c r="A68" s="9">
        <v>68</v>
      </c>
      <c r="B68" s="2" t="s">
        <v>377</v>
      </c>
      <c r="C68" s="3" t="s">
        <v>378</v>
      </c>
      <c r="D68" s="3" t="s">
        <v>346</v>
      </c>
      <c r="E68" s="4">
        <f>IFERROR(INDEX([1]uot!$A$2:$A$40, MATCH("*"&amp;'[1]Personale di appoggio'!$D69&amp;"*", [1]uot!$B$2:$B$40, 0)), "Valore non trovato")</f>
        <v>24</v>
      </c>
      <c r="F68" s="4">
        <f>IF(TRIM('[1]Personale di appoggio'!$F69)=TRIM([1]qualifiche!$E$2),[1]qualifiche!$D$2,
IF(TRIM('[1]Personale di appoggio'!$F69)=TRIM([1]qualifiche!$E$3),[1]qualifiche!$D$3,
IF(TRIM('[1]Personale di appoggio'!$F69)=TRIM([1]qualifiche!$E$4),[1]qualifiche!$D$4,
IF(TRIM('[1]Personale di appoggio'!$F69)=TRIM([1]qualifiche!$E$5),[1]qualifiche!$D$5,
IF(TRIM('[1]Personale di appoggio'!$F69)=TRIM([1]qualifiche!$E$6),[1]qualifiche!$D$6,
IF(TRIM('[1]Personale di appoggio'!$F69)=TRIM([1]qualifiche!$E$7),[1]qualifiche!$D$7,
IF(TRIM('[1]Personale di appoggio'!$F69)=TRIM([1]qualifiche!$E$8),[1]qualifiche!$D$8,
IF(TRIM('[1]Personale di appoggio'!$F69)=TRIM([1]qualifiche!$E$9),[1]qualifiche!$D$9,
IF(TRIM('[1]Personale di appoggio'!$F69)=TRIM([1]qualifiche!$E$10),[1]qualifiche!$D$10,
IF(TRIM('[1]Personale di appoggio'!$F69)=TRIM([1]qualifiche!$E$11),[1]qualifiche!$D$11,""))))))))))</f>
        <v>1</v>
      </c>
      <c r="G68" s="5" t="s">
        <v>379</v>
      </c>
      <c r="H68" s="5" t="s">
        <v>380</v>
      </c>
      <c r="I68" s="6" t="s">
        <v>381</v>
      </c>
      <c r="J68" s="7">
        <f>IF('[1]Personale di appoggio'!J69="X",1,0)</f>
        <v>1</v>
      </c>
      <c r="K68" s="7">
        <f>IF('[1]Personale di appoggio'!K69="X",1,0)</f>
        <v>0</v>
      </c>
      <c r="L68" s="7">
        <f>IF('[1]Personale di appoggio'!L69="X",1,0)</f>
        <v>1</v>
      </c>
      <c r="M68" s="7">
        <f>IF('[1]Personale di appoggio'!M69="X",1,0)</f>
        <v>0</v>
      </c>
      <c r="N68" s="3"/>
      <c r="O68" s="3"/>
      <c r="P68" s="11" t="str">
        <f>IF('[1]Personale di appoggio'!$P69="","",'[1]Personale di appoggio'!$P69)</f>
        <v>Il Direttore conferma il 17/05/2024 che presso la UOT di Bolzano è presnete un solo tecnico per le Verifiche</v>
      </c>
      <c r="Q68" s="4" t="s">
        <v>6</v>
      </c>
      <c r="R68" s="4">
        <f t="shared" si="1"/>
        <v>2</v>
      </c>
    </row>
    <row r="69" spans="1:18" ht="31.5" x14ac:dyDescent="0.45">
      <c r="A69" s="9">
        <v>69</v>
      </c>
      <c r="B69" s="2" t="s">
        <v>382</v>
      </c>
      <c r="C69" s="3" t="s">
        <v>383</v>
      </c>
      <c r="D69" s="3" t="s">
        <v>384</v>
      </c>
      <c r="E69" s="4">
        <f>IFERROR(INDEX([1]uot!$A$2:$A$40, MATCH("*"&amp;'[1]Personale di appoggio'!$D70&amp;"*", [1]uot!$B$2:$B$40, 0)), "Valore non trovato")</f>
        <v>19</v>
      </c>
      <c r="F69" s="4">
        <f>IF(TRIM('[1]Personale di appoggio'!$F70)=TRIM([1]qualifiche!$E$2),[1]qualifiche!$D$2,
IF(TRIM('[1]Personale di appoggio'!$F70)=TRIM([1]qualifiche!$E$3),[1]qualifiche!$D$3,
IF(TRIM('[1]Personale di appoggio'!$F70)=TRIM([1]qualifiche!$E$4),[1]qualifiche!$D$4,
IF(TRIM('[1]Personale di appoggio'!$F70)=TRIM([1]qualifiche!$E$5),[1]qualifiche!$D$5,
IF(TRIM('[1]Personale di appoggio'!$F70)=TRIM([1]qualifiche!$E$6),[1]qualifiche!$D$6,
IF(TRIM('[1]Personale di appoggio'!$F70)=TRIM([1]qualifiche!$E$7),[1]qualifiche!$D$7,
IF(TRIM('[1]Personale di appoggio'!$F70)=TRIM([1]qualifiche!$E$8),[1]qualifiche!$D$8,
IF(TRIM('[1]Personale di appoggio'!$F70)=TRIM([1]qualifiche!$E$9),[1]qualifiche!$D$9,
IF(TRIM('[1]Personale di appoggio'!$F70)=TRIM([1]qualifiche!$E$10),[1]qualifiche!$D$10,
IF(TRIM('[1]Personale di appoggio'!$F70)=TRIM([1]qualifiche!$E$11),[1]qualifiche!$D$11,""))))))))))</f>
        <v>1</v>
      </c>
      <c r="G69" s="5" t="s">
        <v>385</v>
      </c>
      <c r="H69" s="5" t="s">
        <v>386</v>
      </c>
      <c r="I69" s="6" t="s">
        <v>387</v>
      </c>
      <c r="J69" s="7">
        <f>IF('[1]Personale di appoggio'!J70="X",1,0)</f>
        <v>1</v>
      </c>
      <c r="K69" s="7">
        <f>IF('[1]Personale di appoggio'!K70="X",1,0)</f>
        <v>1</v>
      </c>
      <c r="L69" s="7">
        <f>IF('[1]Personale di appoggio'!L70="X",1,0)</f>
        <v>1</v>
      </c>
      <c r="M69" s="7">
        <f>IF('[1]Personale di appoggio'!M70="X",1,0)</f>
        <v>0</v>
      </c>
      <c r="N69" s="3"/>
      <c r="O69" s="3"/>
      <c r="P69" s="11" t="str">
        <f>IF('[1]Personale di appoggio'!$P70="","",'[1]Personale di appoggio'!$P70)</f>
        <v/>
      </c>
      <c r="Q69" s="4" t="s">
        <v>6</v>
      </c>
      <c r="R69" s="4">
        <f t="shared" si="1"/>
        <v>2</v>
      </c>
    </row>
    <row r="70" spans="1:18" ht="31.5" x14ac:dyDescent="0.45">
      <c r="A70" s="9">
        <v>70</v>
      </c>
      <c r="B70" s="2" t="s">
        <v>388</v>
      </c>
      <c r="C70" s="3" t="s">
        <v>389</v>
      </c>
      <c r="D70" s="3" t="s">
        <v>390</v>
      </c>
      <c r="E70" s="4">
        <f>IFERROR(INDEX([1]uot!$A$2:$A$40, MATCH("*"&amp;'[1]Personale di appoggio'!$D71&amp;"*", [1]uot!$B$2:$B$40, 0)), "Valore non trovato")</f>
        <v>19</v>
      </c>
      <c r="F70" s="4">
        <f>IF(TRIM('[1]Personale di appoggio'!$F71)=TRIM([1]qualifiche!$E$2),[1]qualifiche!$D$2,
IF(TRIM('[1]Personale di appoggio'!$F71)=TRIM([1]qualifiche!$E$3),[1]qualifiche!$D$3,
IF(TRIM('[1]Personale di appoggio'!$F71)=TRIM([1]qualifiche!$E$4),[1]qualifiche!$D$4,
IF(TRIM('[1]Personale di appoggio'!$F71)=TRIM([1]qualifiche!$E$5),[1]qualifiche!$D$5,
IF(TRIM('[1]Personale di appoggio'!$F71)=TRIM([1]qualifiche!$E$6),[1]qualifiche!$D$6,
IF(TRIM('[1]Personale di appoggio'!$F71)=TRIM([1]qualifiche!$E$7),[1]qualifiche!$D$7,
IF(TRIM('[1]Personale di appoggio'!$F71)=TRIM([1]qualifiche!$E$8),[1]qualifiche!$D$8,
IF(TRIM('[1]Personale di appoggio'!$F71)=TRIM([1]qualifiche!$E$9),[1]qualifiche!$D$9,
IF(TRIM('[1]Personale di appoggio'!$F71)=TRIM([1]qualifiche!$E$10),[1]qualifiche!$D$10,
IF(TRIM('[1]Personale di appoggio'!$F71)=TRIM([1]qualifiche!$E$11),[1]qualifiche!$D$11,""))))))))))</f>
        <v>2</v>
      </c>
      <c r="G70" s="5" t="s">
        <v>391</v>
      </c>
      <c r="H70" s="5" t="s">
        <v>392</v>
      </c>
      <c r="I70" s="6" t="s">
        <v>393</v>
      </c>
      <c r="J70" s="7">
        <f>IF('[1]Personale di appoggio'!J71="X",1,0)</f>
        <v>1</v>
      </c>
      <c r="K70" s="7">
        <f>IF('[1]Personale di appoggio'!K71="X",1,0)</f>
        <v>1</v>
      </c>
      <c r="L70" s="7">
        <f>IF('[1]Personale di appoggio'!L71="X",1,0)</f>
        <v>1</v>
      </c>
      <c r="M70" s="7">
        <f>IF('[1]Personale di appoggio'!M71="X",1,0)</f>
        <v>0</v>
      </c>
      <c r="N70" s="3"/>
      <c r="O70" s="3"/>
      <c r="P70" s="11" t="str">
        <f>IF('[1]Personale di appoggio'!$P71="","",'[1]Personale di appoggio'!$P71)</f>
        <v/>
      </c>
      <c r="Q70" s="4" t="s">
        <v>6</v>
      </c>
      <c r="R70" s="4">
        <f t="shared" si="1"/>
        <v>2</v>
      </c>
    </row>
    <row r="71" spans="1:18" ht="28.5" x14ac:dyDescent="0.45">
      <c r="A71" s="9">
        <v>71</v>
      </c>
      <c r="B71" s="2" t="s">
        <v>394</v>
      </c>
      <c r="C71" s="3" t="s">
        <v>395</v>
      </c>
      <c r="D71" s="3" t="s">
        <v>396</v>
      </c>
      <c r="E71" s="4">
        <f>IFERROR(INDEX([1]uot!$A$2:$A$40, MATCH("*"&amp;'[1]Personale di appoggio'!$D72&amp;"*", [1]uot!$B$2:$B$40, 0)), "Valore non trovato")</f>
        <v>19</v>
      </c>
      <c r="F71" s="4">
        <f>IF(TRIM('[1]Personale di appoggio'!$F72)=TRIM([1]qualifiche!$E$2),[1]qualifiche!$D$2,
IF(TRIM('[1]Personale di appoggio'!$F72)=TRIM([1]qualifiche!$E$3),[1]qualifiche!$D$3,
IF(TRIM('[1]Personale di appoggio'!$F72)=TRIM([1]qualifiche!$E$4),[1]qualifiche!$D$4,
IF(TRIM('[1]Personale di appoggio'!$F72)=TRIM([1]qualifiche!$E$5),[1]qualifiche!$D$5,
IF(TRIM('[1]Personale di appoggio'!$F72)=TRIM([1]qualifiche!$E$6),[1]qualifiche!$D$6,
IF(TRIM('[1]Personale di appoggio'!$F72)=TRIM([1]qualifiche!$E$7),[1]qualifiche!$D$7,
IF(TRIM('[1]Personale di appoggio'!$F72)=TRIM([1]qualifiche!$E$8),[1]qualifiche!$D$8,
IF(TRIM('[1]Personale di appoggio'!$F72)=TRIM([1]qualifiche!$E$9),[1]qualifiche!$D$9,
IF(TRIM('[1]Personale di appoggio'!$F72)=TRIM([1]qualifiche!$E$10),[1]qualifiche!$D$10,
IF(TRIM('[1]Personale di appoggio'!$F72)=TRIM([1]qualifiche!$E$11),[1]qualifiche!$D$11,""))))))))))</f>
        <v>2</v>
      </c>
      <c r="G71" s="5"/>
      <c r="H71" s="5"/>
      <c r="I71" s="6" t="s">
        <v>397</v>
      </c>
      <c r="J71" s="7">
        <f>IF('[1]Personale di appoggio'!J72="X",1,0)</f>
        <v>1</v>
      </c>
      <c r="K71" s="7">
        <f>IF('[1]Personale di appoggio'!K72="X",1,0)</f>
        <v>1</v>
      </c>
      <c r="L71" s="7">
        <f>IF('[1]Personale di appoggio'!L72="X",1,0)</f>
        <v>1</v>
      </c>
      <c r="M71" s="7">
        <f>IF('[1]Personale di appoggio'!M72="X",1,0)</f>
        <v>0</v>
      </c>
      <c r="N71" s="3"/>
      <c r="O71" s="3"/>
      <c r="P71" s="11" t="str">
        <f>IF('[1]Personale di appoggio'!$P72="","",'[1]Personale di appoggio'!$P72)</f>
        <v/>
      </c>
      <c r="Q71" s="4" t="s">
        <v>6</v>
      </c>
      <c r="R71" s="4">
        <f t="shared" si="1"/>
        <v>2</v>
      </c>
    </row>
    <row r="72" spans="1:18" ht="31.5" x14ac:dyDescent="0.45">
      <c r="A72" s="9">
        <v>72</v>
      </c>
      <c r="B72" s="2" t="s">
        <v>398</v>
      </c>
      <c r="C72" s="3" t="s">
        <v>399</v>
      </c>
      <c r="D72" s="3" t="s">
        <v>400</v>
      </c>
      <c r="E72" s="4">
        <f>IFERROR(INDEX([1]uot!$A$2:$A$40, MATCH("*"&amp;'[1]Personale di appoggio'!$D73&amp;"*", [1]uot!$B$2:$B$40, 0)), "Valore non trovato")</f>
        <v>19</v>
      </c>
      <c r="F72" s="4">
        <f>IF(TRIM('[1]Personale di appoggio'!$F73)=TRIM([1]qualifiche!$E$2),[1]qualifiche!$D$2,
IF(TRIM('[1]Personale di appoggio'!$F73)=TRIM([1]qualifiche!$E$3),[1]qualifiche!$D$3,
IF(TRIM('[1]Personale di appoggio'!$F73)=TRIM([1]qualifiche!$E$4),[1]qualifiche!$D$4,
IF(TRIM('[1]Personale di appoggio'!$F73)=TRIM([1]qualifiche!$E$5),[1]qualifiche!$D$5,
IF(TRIM('[1]Personale di appoggio'!$F73)=TRIM([1]qualifiche!$E$6),[1]qualifiche!$D$6,
IF(TRIM('[1]Personale di appoggio'!$F73)=TRIM([1]qualifiche!$E$7),[1]qualifiche!$D$7,
IF(TRIM('[1]Personale di appoggio'!$F73)=TRIM([1]qualifiche!$E$8),[1]qualifiche!$D$8,
IF(TRIM('[1]Personale di appoggio'!$F73)=TRIM([1]qualifiche!$E$9),[1]qualifiche!$D$9,
IF(TRIM('[1]Personale di appoggio'!$F73)=TRIM([1]qualifiche!$E$10),[1]qualifiche!$D$10,
IF(TRIM('[1]Personale di appoggio'!$F73)=TRIM([1]qualifiche!$E$11),[1]qualifiche!$D$11,""))))))))))</f>
        <v>4</v>
      </c>
      <c r="G72" s="5" t="s">
        <v>401</v>
      </c>
      <c r="H72" s="5" t="s">
        <v>402</v>
      </c>
      <c r="I72" s="6" t="s">
        <v>403</v>
      </c>
      <c r="J72" s="7">
        <f>IF('[1]Personale di appoggio'!J73="X",1,0)</f>
        <v>1</v>
      </c>
      <c r="K72" s="7">
        <f>IF('[1]Personale di appoggio'!K73="X",1,0)</f>
        <v>1</v>
      </c>
      <c r="L72" s="7">
        <f>IF('[1]Personale di appoggio'!L73="X",1,0)</f>
        <v>1</v>
      </c>
      <c r="M72" s="7">
        <f>IF('[1]Personale di appoggio'!M73="X",1,0)</f>
        <v>0</v>
      </c>
      <c r="N72" s="3"/>
      <c r="O72" s="3"/>
      <c r="P72" s="11" t="str">
        <f>IF('[1]Personale di appoggio'!$P73="","",'[1]Personale di appoggio'!$P73)</f>
        <v/>
      </c>
      <c r="Q72" s="4" t="s">
        <v>6</v>
      </c>
      <c r="R72" s="4">
        <f t="shared" si="1"/>
        <v>2</v>
      </c>
    </row>
    <row r="73" spans="1:18" ht="31.5" x14ac:dyDescent="0.45">
      <c r="A73" s="9">
        <v>73</v>
      </c>
      <c r="B73" s="2" t="s">
        <v>404</v>
      </c>
      <c r="C73" s="3" t="s">
        <v>405</v>
      </c>
      <c r="D73" s="3" t="s">
        <v>406</v>
      </c>
      <c r="E73" s="4">
        <f>IFERROR(INDEX([1]uot!$A$2:$A$40, MATCH("*"&amp;'[1]Personale di appoggio'!$D74&amp;"*", [1]uot!$B$2:$B$40, 0)), "Valore non trovato")</f>
        <v>19</v>
      </c>
      <c r="F73" s="4">
        <f>IF(TRIM('[1]Personale di appoggio'!$F74)=TRIM([1]qualifiche!$E$2),[1]qualifiche!$D$2,
IF(TRIM('[1]Personale di appoggio'!$F74)=TRIM([1]qualifiche!$E$3),[1]qualifiche!$D$3,
IF(TRIM('[1]Personale di appoggio'!$F74)=TRIM([1]qualifiche!$E$4),[1]qualifiche!$D$4,
IF(TRIM('[1]Personale di appoggio'!$F74)=TRIM([1]qualifiche!$E$5),[1]qualifiche!$D$5,
IF(TRIM('[1]Personale di appoggio'!$F74)=TRIM([1]qualifiche!$E$6),[1]qualifiche!$D$6,
IF(TRIM('[1]Personale di appoggio'!$F74)=TRIM([1]qualifiche!$E$7),[1]qualifiche!$D$7,
IF(TRIM('[1]Personale di appoggio'!$F74)=TRIM([1]qualifiche!$E$8),[1]qualifiche!$D$8,
IF(TRIM('[1]Personale di appoggio'!$F74)=TRIM([1]qualifiche!$E$9),[1]qualifiche!$D$9,
IF(TRIM('[1]Personale di appoggio'!$F74)=TRIM([1]qualifiche!$E$10),[1]qualifiche!$D$10,
IF(TRIM('[1]Personale di appoggio'!$F74)=TRIM([1]qualifiche!$E$11),[1]qualifiche!$D$11,""))))))))))</f>
        <v>8</v>
      </c>
      <c r="G73" s="5" t="s">
        <v>407</v>
      </c>
      <c r="H73" s="5" t="s">
        <v>408</v>
      </c>
      <c r="I73" s="6" t="s">
        <v>409</v>
      </c>
      <c r="J73" s="7">
        <f>IF('[1]Personale di appoggio'!J74="X",1,0)</f>
        <v>0</v>
      </c>
      <c r="K73" s="7">
        <f>IF('[1]Personale di appoggio'!K74="X",1,0)</f>
        <v>0</v>
      </c>
      <c r="L73" s="7">
        <f>IF('[1]Personale di appoggio'!L74="X",1,0)</f>
        <v>0</v>
      </c>
      <c r="M73" s="7">
        <f>IF('[1]Personale di appoggio'!M74="X",1,0)</f>
        <v>0</v>
      </c>
      <c r="N73" s="3"/>
      <c r="O73" s="3"/>
      <c r="P73" s="11" t="str">
        <f>IF('[1]Personale di appoggio'!$P74="","",'[1]Personale di appoggio'!$P74)</f>
        <v/>
      </c>
      <c r="Q73" s="4" t="s">
        <v>6</v>
      </c>
      <c r="R73" s="4">
        <f t="shared" si="1"/>
        <v>4</v>
      </c>
    </row>
    <row r="74" spans="1:18" ht="31.5" x14ac:dyDescent="0.45">
      <c r="A74" s="9">
        <v>74</v>
      </c>
      <c r="B74" s="2" t="s">
        <v>410</v>
      </c>
      <c r="C74" s="3" t="s">
        <v>277</v>
      </c>
      <c r="D74" s="3" t="s">
        <v>411</v>
      </c>
      <c r="E74" s="4">
        <f>IFERROR(INDEX([1]uot!$A$2:$A$40, MATCH("*"&amp;'[1]Personale di appoggio'!$D75&amp;"*", [1]uot!$B$2:$B$40, 0)), "Valore non trovato")</f>
        <v>31</v>
      </c>
      <c r="F74" s="4">
        <f>IF(TRIM('[1]Personale di appoggio'!$F75)=TRIM([1]qualifiche!$E$2),[1]qualifiche!$D$2,
IF(TRIM('[1]Personale di appoggio'!$F75)=TRIM([1]qualifiche!$E$3),[1]qualifiche!$D$3,
IF(TRIM('[1]Personale di appoggio'!$F75)=TRIM([1]qualifiche!$E$4),[1]qualifiche!$D$4,
IF(TRIM('[1]Personale di appoggio'!$F75)=TRIM([1]qualifiche!$E$5),[1]qualifiche!$D$5,
IF(TRIM('[1]Personale di appoggio'!$F75)=TRIM([1]qualifiche!$E$6),[1]qualifiche!$D$6,
IF(TRIM('[1]Personale di appoggio'!$F75)=TRIM([1]qualifiche!$E$7),[1]qualifiche!$D$7,
IF(TRIM('[1]Personale di appoggio'!$F75)=TRIM([1]qualifiche!$E$8),[1]qualifiche!$D$8,
IF(TRIM('[1]Personale di appoggio'!$F75)=TRIM([1]qualifiche!$E$9),[1]qualifiche!$D$9,
IF(TRIM('[1]Personale di appoggio'!$F75)=TRIM([1]qualifiche!$E$10),[1]qualifiche!$D$10,
IF(TRIM('[1]Personale di appoggio'!$F75)=TRIM([1]qualifiche!$E$11),[1]qualifiche!$D$11,""))))))))))</f>
        <v>1</v>
      </c>
      <c r="G74" s="5" t="s">
        <v>412</v>
      </c>
      <c r="H74" s="5" t="s">
        <v>413</v>
      </c>
      <c r="I74" s="6" t="s">
        <v>414</v>
      </c>
      <c r="J74" s="7">
        <f>IF('[1]Personale di appoggio'!J75="X",1,0)</f>
        <v>1</v>
      </c>
      <c r="K74" s="7">
        <f>IF('[1]Personale di appoggio'!K75="X",1,0)</f>
        <v>1</v>
      </c>
      <c r="L74" s="7">
        <f>IF('[1]Personale di appoggio'!L75="X",1,0)</f>
        <v>1</v>
      </c>
      <c r="M74" s="7">
        <f>IF('[1]Personale di appoggio'!M75="X",1,0)</f>
        <v>0</v>
      </c>
      <c r="N74" s="3"/>
      <c r="O74" s="3"/>
      <c r="P74" s="11" t="str">
        <f>IF('[1]Personale di appoggio'!$P75="","",'[1]Personale di appoggio'!$P75)</f>
        <v/>
      </c>
      <c r="Q74" s="4" t="s">
        <v>6</v>
      </c>
      <c r="R74" s="4">
        <f t="shared" si="1"/>
        <v>2</v>
      </c>
    </row>
    <row r="75" spans="1:18" ht="42.75" x14ac:dyDescent="0.45">
      <c r="A75" s="9">
        <v>75</v>
      </c>
      <c r="B75" s="2" t="s">
        <v>415</v>
      </c>
      <c r="C75" s="3" t="s">
        <v>416</v>
      </c>
      <c r="D75" s="3" t="s">
        <v>312</v>
      </c>
      <c r="E75" s="4">
        <f>IFERROR(INDEX([1]uot!$A$2:$A$40, MATCH("*"&amp;'[1]Personale di appoggio'!$D76&amp;"*", [1]uot!$B$2:$B$40, 0)), "Valore non trovato")</f>
        <v>31</v>
      </c>
      <c r="F75" s="4">
        <f>IF(TRIM('[1]Personale di appoggio'!$F76)=TRIM([1]qualifiche!$E$2),[1]qualifiche!$D$2,
IF(TRIM('[1]Personale di appoggio'!$F76)=TRIM([1]qualifiche!$E$3),[1]qualifiche!$D$3,
IF(TRIM('[1]Personale di appoggio'!$F76)=TRIM([1]qualifiche!$E$4),[1]qualifiche!$D$4,
IF(TRIM('[1]Personale di appoggio'!$F76)=TRIM([1]qualifiche!$E$5),[1]qualifiche!$D$5,
IF(TRIM('[1]Personale di appoggio'!$F76)=TRIM([1]qualifiche!$E$6),[1]qualifiche!$D$6,
IF(TRIM('[1]Personale di appoggio'!$F76)=TRIM([1]qualifiche!$E$7),[1]qualifiche!$D$7,
IF(TRIM('[1]Personale di appoggio'!$F76)=TRIM([1]qualifiche!$E$8),[1]qualifiche!$D$8,
IF(TRIM('[1]Personale di appoggio'!$F76)=TRIM([1]qualifiche!$E$9),[1]qualifiche!$D$9,
IF(TRIM('[1]Personale di appoggio'!$F76)=TRIM([1]qualifiche!$E$10),[1]qualifiche!$D$10,
IF(TRIM('[1]Personale di appoggio'!$F76)=TRIM([1]qualifiche!$E$11),[1]qualifiche!$D$11,""))))))))))</f>
        <v>2</v>
      </c>
      <c r="G75" s="5" t="s">
        <v>417</v>
      </c>
      <c r="H75" s="5" t="s">
        <v>418</v>
      </c>
      <c r="I75" s="6" t="s">
        <v>419</v>
      </c>
      <c r="J75" s="7">
        <f>IF('[1]Personale di appoggio'!J76="X",1,0)</f>
        <v>1</v>
      </c>
      <c r="K75" s="7">
        <f>IF('[1]Personale di appoggio'!K76="X",1,0)</f>
        <v>0</v>
      </c>
      <c r="L75" s="7">
        <f>IF('[1]Personale di appoggio'!L76="X",1,0)</f>
        <v>1</v>
      </c>
      <c r="M75" s="7">
        <f>IF('[1]Personale di appoggio'!M76="X",1,0)</f>
        <v>0</v>
      </c>
      <c r="N75" s="3"/>
      <c r="O75" s="3"/>
      <c r="P75" s="11" t="str">
        <f>IF('[1]Personale di appoggio'!$P76="","",'[1]Personale di appoggio'!$P76)</f>
        <v/>
      </c>
      <c r="Q75" s="4" t="s">
        <v>6</v>
      </c>
      <c r="R75" s="4">
        <f t="shared" si="1"/>
        <v>2</v>
      </c>
    </row>
    <row r="76" spans="1:18" ht="31.5" x14ac:dyDescent="0.45">
      <c r="A76" s="9">
        <v>76</v>
      </c>
      <c r="B76" s="2" t="s">
        <v>420</v>
      </c>
      <c r="C76" s="3" t="s">
        <v>421</v>
      </c>
      <c r="D76" s="3" t="s">
        <v>422</v>
      </c>
      <c r="E76" s="4">
        <f>IFERROR(INDEX([1]uot!$A$2:$A$40, MATCH("*"&amp;'[1]Personale di appoggio'!$D77&amp;"*", [1]uot!$B$2:$B$40, 0)), "Valore non trovato")</f>
        <v>31</v>
      </c>
      <c r="F76" s="4">
        <f>IF(TRIM('[1]Personale di appoggio'!$F77)=TRIM([1]qualifiche!$E$2),[1]qualifiche!$D$2,
IF(TRIM('[1]Personale di appoggio'!$F77)=TRIM([1]qualifiche!$E$3),[1]qualifiche!$D$3,
IF(TRIM('[1]Personale di appoggio'!$F77)=TRIM([1]qualifiche!$E$4),[1]qualifiche!$D$4,
IF(TRIM('[1]Personale di appoggio'!$F77)=TRIM([1]qualifiche!$E$5),[1]qualifiche!$D$5,
IF(TRIM('[1]Personale di appoggio'!$F77)=TRIM([1]qualifiche!$E$6),[1]qualifiche!$D$6,
IF(TRIM('[1]Personale di appoggio'!$F77)=TRIM([1]qualifiche!$E$7),[1]qualifiche!$D$7,
IF(TRIM('[1]Personale di appoggio'!$F77)=TRIM([1]qualifiche!$E$8),[1]qualifiche!$D$8,
IF(TRIM('[1]Personale di appoggio'!$F77)=TRIM([1]qualifiche!$E$9),[1]qualifiche!$D$9,
IF(TRIM('[1]Personale di appoggio'!$F77)=TRIM([1]qualifiche!$E$10),[1]qualifiche!$D$10,
IF(TRIM('[1]Personale di appoggio'!$F77)=TRIM([1]qualifiche!$E$11),[1]qualifiche!$D$11,""))))))))))</f>
        <v>2</v>
      </c>
      <c r="G76" s="5" t="s">
        <v>423</v>
      </c>
      <c r="H76" s="5" t="s">
        <v>424</v>
      </c>
      <c r="I76" s="6" t="s">
        <v>425</v>
      </c>
      <c r="J76" s="7">
        <f>IF('[1]Personale di appoggio'!J77="X",1,0)</f>
        <v>1</v>
      </c>
      <c r="K76" s="7">
        <f>IF('[1]Personale di appoggio'!K77="X",1,0)</f>
        <v>1</v>
      </c>
      <c r="L76" s="7">
        <f>IF('[1]Personale di appoggio'!L77="X",1,0)</f>
        <v>0</v>
      </c>
      <c r="M76" s="7">
        <f>IF('[1]Personale di appoggio'!M77="X",1,0)</f>
        <v>1</v>
      </c>
      <c r="N76" s="3"/>
      <c r="O76" s="3"/>
      <c r="P76" s="11" t="str">
        <f>IF('[1]Personale di appoggio'!$P77="","",'[1]Personale di appoggio'!$P77)</f>
        <v/>
      </c>
      <c r="Q76" s="4" t="s">
        <v>6</v>
      </c>
      <c r="R76" s="4">
        <f t="shared" si="1"/>
        <v>2</v>
      </c>
    </row>
    <row r="77" spans="1:18" ht="31.5" x14ac:dyDescent="0.45">
      <c r="A77" s="9">
        <v>77</v>
      </c>
      <c r="B77" s="2" t="s">
        <v>426</v>
      </c>
      <c r="C77" s="3" t="s">
        <v>427</v>
      </c>
      <c r="D77" s="3" t="s">
        <v>428</v>
      </c>
      <c r="E77" s="4">
        <f>IFERROR(INDEX([1]uot!$A$2:$A$40, MATCH("*"&amp;'[1]Personale di appoggio'!$D78&amp;"*", [1]uot!$B$2:$B$40, 0)), "Valore non trovato")</f>
        <v>31</v>
      </c>
      <c r="F77" s="4">
        <f>IF(TRIM('[1]Personale di appoggio'!$F78)=TRIM([1]qualifiche!$E$2),[1]qualifiche!$D$2,
IF(TRIM('[1]Personale di appoggio'!$F78)=TRIM([1]qualifiche!$E$3),[1]qualifiche!$D$3,
IF(TRIM('[1]Personale di appoggio'!$F78)=TRIM([1]qualifiche!$E$4),[1]qualifiche!$D$4,
IF(TRIM('[1]Personale di appoggio'!$F78)=TRIM([1]qualifiche!$E$5),[1]qualifiche!$D$5,
IF(TRIM('[1]Personale di appoggio'!$F78)=TRIM([1]qualifiche!$E$6),[1]qualifiche!$D$6,
IF(TRIM('[1]Personale di appoggio'!$F78)=TRIM([1]qualifiche!$E$7),[1]qualifiche!$D$7,
IF(TRIM('[1]Personale di appoggio'!$F78)=TRIM([1]qualifiche!$E$8),[1]qualifiche!$D$8,
IF(TRIM('[1]Personale di appoggio'!$F78)=TRIM([1]qualifiche!$E$9),[1]qualifiche!$D$9,
IF(TRIM('[1]Personale di appoggio'!$F78)=TRIM([1]qualifiche!$E$10),[1]qualifiche!$D$10,
IF(TRIM('[1]Personale di appoggio'!$F78)=TRIM([1]qualifiche!$E$11),[1]qualifiche!$D$11,""))))))))))</f>
        <v>2</v>
      </c>
      <c r="G77" s="5" t="s">
        <v>429</v>
      </c>
      <c r="H77" s="5" t="s">
        <v>430</v>
      </c>
      <c r="I77" s="6" t="s">
        <v>431</v>
      </c>
      <c r="J77" s="7">
        <f>IF('[1]Personale di appoggio'!J78="X",1,0)</f>
        <v>1</v>
      </c>
      <c r="K77" s="7">
        <f>IF('[1]Personale di appoggio'!K78="X",1,0)</f>
        <v>0</v>
      </c>
      <c r="L77" s="7">
        <f>IF('[1]Personale di appoggio'!L78="X",1,0)</f>
        <v>0</v>
      </c>
      <c r="M77" s="7">
        <f>IF('[1]Personale di appoggio'!M78="X",1,0)</f>
        <v>0</v>
      </c>
      <c r="N77" s="3"/>
      <c r="O77" s="3"/>
      <c r="P77" s="11" t="str">
        <f>IF('[1]Personale di appoggio'!$P78="","",'[1]Personale di appoggio'!$P78)</f>
        <v/>
      </c>
      <c r="Q77" s="4" t="s">
        <v>6</v>
      </c>
      <c r="R77" s="4">
        <f t="shared" si="1"/>
        <v>2</v>
      </c>
    </row>
    <row r="78" spans="1:18" ht="31.5" x14ac:dyDescent="0.45">
      <c r="A78" s="9">
        <v>78</v>
      </c>
      <c r="B78" s="2" t="s">
        <v>432</v>
      </c>
      <c r="C78" s="3" t="s">
        <v>427</v>
      </c>
      <c r="D78" s="3" t="s">
        <v>433</v>
      </c>
      <c r="E78" s="4">
        <f>IFERROR(INDEX([1]uot!$A$2:$A$40, MATCH("*"&amp;'[1]Personale di appoggio'!$D79&amp;"*", [1]uot!$B$2:$B$40, 0)), "Valore non trovato")</f>
        <v>31</v>
      </c>
      <c r="F78" s="4">
        <f>IF(TRIM('[1]Personale di appoggio'!$F79)=TRIM([1]qualifiche!$E$2),[1]qualifiche!$D$2,
IF(TRIM('[1]Personale di appoggio'!$F79)=TRIM([1]qualifiche!$E$3),[1]qualifiche!$D$3,
IF(TRIM('[1]Personale di appoggio'!$F79)=TRIM([1]qualifiche!$E$4),[1]qualifiche!$D$4,
IF(TRIM('[1]Personale di appoggio'!$F79)=TRIM([1]qualifiche!$E$5),[1]qualifiche!$D$5,
IF(TRIM('[1]Personale di appoggio'!$F79)=TRIM([1]qualifiche!$E$6),[1]qualifiche!$D$6,
IF(TRIM('[1]Personale di appoggio'!$F79)=TRIM([1]qualifiche!$E$7),[1]qualifiche!$D$7,
IF(TRIM('[1]Personale di appoggio'!$F79)=TRIM([1]qualifiche!$E$8),[1]qualifiche!$D$8,
IF(TRIM('[1]Personale di appoggio'!$F79)=TRIM([1]qualifiche!$E$9),[1]qualifiche!$D$9,
IF(TRIM('[1]Personale di appoggio'!$F79)=TRIM([1]qualifiche!$E$10),[1]qualifiche!$D$10,
IF(TRIM('[1]Personale di appoggio'!$F79)=TRIM([1]qualifiche!$E$11),[1]qualifiche!$D$11,""))))))))))</f>
        <v>4</v>
      </c>
      <c r="G78" s="5" t="s">
        <v>434</v>
      </c>
      <c r="H78" s="5" t="s">
        <v>435</v>
      </c>
      <c r="I78" s="6" t="s">
        <v>436</v>
      </c>
      <c r="J78" s="7">
        <f>IF('[1]Personale di appoggio'!J79="X",1,0)</f>
        <v>1</v>
      </c>
      <c r="K78" s="7">
        <f>IF('[1]Personale di appoggio'!K79="X",1,0)</f>
        <v>0</v>
      </c>
      <c r="L78" s="7">
        <f>IF('[1]Personale di appoggio'!L79="X",1,0)</f>
        <v>1</v>
      </c>
      <c r="M78" s="7">
        <f>IF('[1]Personale di appoggio'!M79="X",1,0)</f>
        <v>0</v>
      </c>
      <c r="N78" s="3"/>
      <c r="O78" s="3"/>
      <c r="P78" s="11" t="str">
        <f>IF('[1]Personale di appoggio'!$P79="","",'[1]Personale di appoggio'!$P79)</f>
        <v/>
      </c>
      <c r="Q78" s="4" t="s">
        <v>6</v>
      </c>
      <c r="R78" s="4">
        <f t="shared" si="1"/>
        <v>2</v>
      </c>
    </row>
    <row r="79" spans="1:18" ht="63" x14ac:dyDescent="0.45">
      <c r="A79" s="9">
        <v>79</v>
      </c>
      <c r="B79" s="2" t="s">
        <v>437</v>
      </c>
      <c r="C79" s="3" t="s">
        <v>438</v>
      </c>
      <c r="D79" s="3" t="s">
        <v>439</v>
      </c>
      <c r="E79" s="4">
        <f>IFERROR(INDEX([1]uot!$A$2:$A$40, MATCH("*"&amp;'[1]Personale di appoggio'!$D80&amp;"*", [1]uot!$B$2:$B$40, 0)), "Valore non trovato")</f>
        <v>31</v>
      </c>
      <c r="F79" s="4">
        <f>IF(TRIM('[1]Personale di appoggio'!$F80)=TRIM([1]qualifiche!$E$2),[1]qualifiche!$D$2,
IF(TRIM('[1]Personale di appoggio'!$F80)=TRIM([1]qualifiche!$E$3),[1]qualifiche!$D$3,
IF(TRIM('[1]Personale di appoggio'!$F80)=TRIM([1]qualifiche!$E$4),[1]qualifiche!$D$4,
IF(TRIM('[1]Personale di appoggio'!$F80)=TRIM([1]qualifiche!$E$5),[1]qualifiche!$D$5,
IF(TRIM('[1]Personale di appoggio'!$F80)=TRIM([1]qualifiche!$E$6),[1]qualifiche!$D$6,
IF(TRIM('[1]Personale di appoggio'!$F80)=TRIM([1]qualifiche!$E$7),[1]qualifiche!$D$7,
IF(TRIM('[1]Personale di appoggio'!$F80)=TRIM([1]qualifiche!$E$8),[1]qualifiche!$D$8,
IF(TRIM('[1]Personale di appoggio'!$F80)=TRIM([1]qualifiche!$E$9),[1]qualifiche!$D$9,
IF(TRIM('[1]Personale di appoggio'!$F80)=TRIM([1]qualifiche!$E$10),[1]qualifiche!$D$10,
IF(TRIM('[1]Personale di appoggio'!$F80)=TRIM([1]qualifiche!$E$11),[1]qualifiche!$D$11,""))))))))))</f>
        <v>4</v>
      </c>
      <c r="G79" s="5" t="s">
        <v>440</v>
      </c>
      <c r="H79" s="5" t="s">
        <v>441</v>
      </c>
      <c r="I79" s="6" t="s">
        <v>442</v>
      </c>
      <c r="J79" s="7">
        <f>IF('[1]Personale di appoggio'!J80="X",1,0)</f>
        <v>0</v>
      </c>
      <c r="K79" s="7">
        <f>IF('[1]Personale di appoggio'!K80="X",1,0)</f>
        <v>0</v>
      </c>
      <c r="L79" s="7">
        <f>IF('[1]Personale di appoggio'!L80="X",1,0)</f>
        <v>0</v>
      </c>
      <c r="M79" s="7">
        <f>IF('[1]Personale di appoggio'!M80="X",1,0)</f>
        <v>0</v>
      </c>
      <c r="N79" s="3"/>
      <c r="O79" s="3"/>
      <c r="P79" s="11" t="str">
        <f>IF('[1]Personale di appoggio'!$P80="","",'[1]Personale di appoggio'!$P80)</f>
        <v>solo attività amministrativa</v>
      </c>
      <c r="Q79" s="4" t="s">
        <v>6</v>
      </c>
      <c r="R79" s="4">
        <f t="shared" si="1"/>
        <v>4</v>
      </c>
    </row>
    <row r="80" spans="1:18" ht="31.5" x14ac:dyDescent="0.45">
      <c r="A80" s="9">
        <v>80</v>
      </c>
      <c r="B80" s="2" t="s">
        <v>443</v>
      </c>
      <c r="C80" s="3" t="s">
        <v>444</v>
      </c>
      <c r="D80" s="3" t="s">
        <v>445</v>
      </c>
      <c r="E80" s="4">
        <f>IFERROR(INDEX([1]uot!$A$2:$A$40, MATCH("*"&amp;'[1]Personale di appoggio'!$D81&amp;"*", [1]uot!$B$2:$B$40, 0)), "Valore non trovato")</f>
        <v>31</v>
      </c>
      <c r="F80" s="4">
        <f>IF(TRIM('[1]Personale di appoggio'!$F81)=TRIM([1]qualifiche!$E$2),[1]qualifiche!$D$2,
IF(TRIM('[1]Personale di appoggio'!$F81)=TRIM([1]qualifiche!$E$3),[1]qualifiche!$D$3,
IF(TRIM('[1]Personale di appoggio'!$F81)=TRIM([1]qualifiche!$E$4),[1]qualifiche!$D$4,
IF(TRIM('[1]Personale di appoggio'!$F81)=TRIM([1]qualifiche!$E$5),[1]qualifiche!$D$5,
IF(TRIM('[1]Personale di appoggio'!$F81)=TRIM([1]qualifiche!$E$6),[1]qualifiche!$D$6,
IF(TRIM('[1]Personale di appoggio'!$F81)=TRIM([1]qualifiche!$E$7),[1]qualifiche!$D$7,
IF(TRIM('[1]Personale di appoggio'!$F81)=TRIM([1]qualifiche!$E$8),[1]qualifiche!$D$8,
IF(TRIM('[1]Personale di appoggio'!$F81)=TRIM([1]qualifiche!$E$9),[1]qualifiche!$D$9,
IF(TRIM('[1]Personale di appoggio'!$F81)=TRIM([1]qualifiche!$E$10),[1]qualifiche!$D$10,
IF(TRIM('[1]Personale di appoggio'!$F81)=TRIM([1]qualifiche!$E$11),[1]qualifiche!$D$11,""))))))))))</f>
        <v>7</v>
      </c>
      <c r="G80" s="5" t="s">
        <v>446</v>
      </c>
      <c r="H80" s="5" t="s">
        <v>447</v>
      </c>
      <c r="I80" s="6" t="s">
        <v>448</v>
      </c>
      <c r="J80" s="7">
        <f>IF('[1]Personale di appoggio'!J81="X",1,0)</f>
        <v>0</v>
      </c>
      <c r="K80" s="7">
        <f>IF('[1]Personale di appoggio'!K81="X",1,0)</f>
        <v>0</v>
      </c>
      <c r="L80" s="7">
        <f>IF('[1]Personale di appoggio'!L81="X",1,0)</f>
        <v>0</v>
      </c>
      <c r="M80" s="7">
        <f>IF('[1]Personale di appoggio'!M81="X",1,0)</f>
        <v>0</v>
      </c>
      <c r="N80" s="3"/>
      <c r="O80" s="3"/>
      <c r="P80" s="11" t="str">
        <f>IF('[1]Personale di appoggio'!$P81="","",'[1]Personale di appoggio'!$P81)</f>
        <v/>
      </c>
      <c r="Q80" s="4" t="s">
        <v>6</v>
      </c>
      <c r="R80" s="4">
        <f t="shared" si="1"/>
        <v>4</v>
      </c>
    </row>
    <row r="81" spans="1:18" ht="31.5" x14ac:dyDescent="0.45">
      <c r="A81" s="9">
        <v>81</v>
      </c>
      <c r="B81" s="2" t="s">
        <v>449</v>
      </c>
      <c r="C81" s="3" t="s">
        <v>450</v>
      </c>
      <c r="D81" s="3" t="s">
        <v>451</v>
      </c>
      <c r="E81" s="4">
        <f>IFERROR(INDEX([1]uot!$A$2:$A$40, MATCH("*"&amp;'[1]Personale di appoggio'!$D82&amp;"*", [1]uot!$B$2:$B$40, 0)), "Valore non trovato")</f>
        <v>31</v>
      </c>
      <c r="F81" s="4">
        <f>IF(TRIM('[1]Personale di appoggio'!$F82)=TRIM([1]qualifiche!$E$2),[1]qualifiche!$D$2,
IF(TRIM('[1]Personale di appoggio'!$F82)=TRIM([1]qualifiche!$E$3),[1]qualifiche!$D$3,
IF(TRIM('[1]Personale di appoggio'!$F82)=TRIM([1]qualifiche!$E$4),[1]qualifiche!$D$4,
IF(TRIM('[1]Personale di appoggio'!$F82)=TRIM([1]qualifiche!$E$5),[1]qualifiche!$D$5,
IF(TRIM('[1]Personale di appoggio'!$F82)=TRIM([1]qualifiche!$E$6),[1]qualifiche!$D$6,
IF(TRIM('[1]Personale di appoggio'!$F82)=TRIM([1]qualifiche!$E$7),[1]qualifiche!$D$7,
IF(TRIM('[1]Personale di appoggio'!$F82)=TRIM([1]qualifiche!$E$8),[1]qualifiche!$D$8,
IF(TRIM('[1]Personale di appoggio'!$F82)=TRIM([1]qualifiche!$E$9),[1]qualifiche!$D$9,
IF(TRIM('[1]Personale di appoggio'!$F82)=TRIM([1]qualifiche!$E$10),[1]qualifiche!$D$10,
IF(TRIM('[1]Personale di appoggio'!$F82)=TRIM([1]qualifiche!$E$11),[1]qualifiche!$D$11,""))))))))))</f>
        <v>7</v>
      </c>
      <c r="G81" s="5" t="s">
        <v>452</v>
      </c>
      <c r="H81" s="5" t="s">
        <v>453</v>
      </c>
      <c r="I81" s="6" t="s">
        <v>454</v>
      </c>
      <c r="J81" s="7">
        <f>IF('[1]Personale di appoggio'!J82="X",1,0)</f>
        <v>0</v>
      </c>
      <c r="K81" s="7">
        <f>IF('[1]Personale di appoggio'!K82="X",1,0)</f>
        <v>0</v>
      </c>
      <c r="L81" s="7">
        <f>IF('[1]Personale di appoggio'!L82="X",1,0)</f>
        <v>0</v>
      </c>
      <c r="M81" s="7">
        <f>IF('[1]Personale di appoggio'!M82="X",1,0)</f>
        <v>0</v>
      </c>
      <c r="N81" s="3"/>
      <c r="O81" s="3"/>
      <c r="P81" s="11" t="str">
        <f>IF('[1]Personale di appoggio'!$P82="","",'[1]Personale di appoggio'!$P82)</f>
        <v/>
      </c>
      <c r="Q81" s="4" t="s">
        <v>6</v>
      </c>
      <c r="R81" s="4">
        <f t="shared" si="1"/>
        <v>4</v>
      </c>
    </row>
    <row r="82" spans="1:18" ht="31.5" x14ac:dyDescent="0.45">
      <c r="A82" s="9">
        <v>82</v>
      </c>
      <c r="B82" s="2" t="s">
        <v>455</v>
      </c>
      <c r="C82" s="3" t="s">
        <v>456</v>
      </c>
      <c r="D82" s="3" t="s">
        <v>457</v>
      </c>
      <c r="E82" s="4">
        <f>IFERROR(INDEX([1]uot!$A$2:$A$40, MATCH("*"&amp;'[1]Personale di appoggio'!$D83&amp;"*", [1]uot!$B$2:$B$40, 0)), "Valore non trovato")</f>
        <v>31</v>
      </c>
      <c r="F82" s="4">
        <f>IF(TRIM('[1]Personale di appoggio'!$F83)=TRIM([1]qualifiche!$E$2),[1]qualifiche!$D$2,
IF(TRIM('[1]Personale di appoggio'!$F83)=TRIM([1]qualifiche!$E$3),[1]qualifiche!$D$3,
IF(TRIM('[1]Personale di appoggio'!$F83)=TRIM([1]qualifiche!$E$4),[1]qualifiche!$D$4,
IF(TRIM('[1]Personale di appoggio'!$F83)=TRIM([1]qualifiche!$E$5),[1]qualifiche!$D$5,
IF(TRIM('[1]Personale di appoggio'!$F83)=TRIM([1]qualifiche!$E$6),[1]qualifiche!$D$6,
IF(TRIM('[1]Personale di appoggio'!$F83)=TRIM([1]qualifiche!$E$7),[1]qualifiche!$D$7,
IF(TRIM('[1]Personale di appoggio'!$F83)=TRIM([1]qualifiche!$E$8),[1]qualifiche!$D$8,
IF(TRIM('[1]Personale di appoggio'!$F83)=TRIM([1]qualifiche!$E$9),[1]qualifiche!$D$9,
IF(TRIM('[1]Personale di appoggio'!$F83)=TRIM([1]qualifiche!$E$10),[1]qualifiche!$D$10,
IF(TRIM('[1]Personale di appoggio'!$F83)=TRIM([1]qualifiche!$E$11),[1]qualifiche!$D$11,""))))))))))</f>
        <v>7</v>
      </c>
      <c r="G82" s="5" t="s">
        <v>458</v>
      </c>
      <c r="H82" s="5" t="s">
        <v>459</v>
      </c>
      <c r="I82" s="6" t="s">
        <v>460</v>
      </c>
      <c r="J82" s="7">
        <f>IF('[1]Personale di appoggio'!J83="X",1,0)</f>
        <v>0</v>
      </c>
      <c r="K82" s="7">
        <f>IF('[1]Personale di appoggio'!K83="X",1,0)</f>
        <v>0</v>
      </c>
      <c r="L82" s="7">
        <f>IF('[1]Personale di appoggio'!L83="X",1,0)</f>
        <v>0</v>
      </c>
      <c r="M82" s="7">
        <f>IF('[1]Personale di appoggio'!M83="X",1,0)</f>
        <v>0</v>
      </c>
      <c r="N82" s="3"/>
      <c r="O82" s="3"/>
      <c r="P82" s="11" t="str">
        <f>IF('[1]Personale di appoggio'!$P83="","",'[1]Personale di appoggio'!$P83)</f>
        <v/>
      </c>
      <c r="Q82" s="4" t="s">
        <v>6</v>
      </c>
      <c r="R82" s="4">
        <f t="shared" si="1"/>
        <v>4</v>
      </c>
    </row>
    <row r="83" spans="1:18" ht="31.5" x14ac:dyDescent="0.45">
      <c r="A83" s="9">
        <v>83</v>
      </c>
      <c r="B83" s="2" t="s">
        <v>461</v>
      </c>
      <c r="C83" s="3" t="s">
        <v>462</v>
      </c>
      <c r="D83" s="3" t="s">
        <v>63</v>
      </c>
      <c r="E83" s="4">
        <f>IFERROR(INDEX([1]uot!$A$2:$A$40, MATCH("*"&amp;'[1]Personale di appoggio'!$D84&amp;"*", [1]uot!$B$2:$B$40, 0)), "Valore non trovato")</f>
        <v>31</v>
      </c>
      <c r="F83" s="4">
        <f>IF(TRIM('[1]Personale di appoggio'!$F84)=TRIM([1]qualifiche!$E$2),[1]qualifiche!$D$2,
IF(TRIM('[1]Personale di appoggio'!$F84)=TRIM([1]qualifiche!$E$3),[1]qualifiche!$D$3,
IF(TRIM('[1]Personale di appoggio'!$F84)=TRIM([1]qualifiche!$E$4),[1]qualifiche!$D$4,
IF(TRIM('[1]Personale di appoggio'!$F84)=TRIM([1]qualifiche!$E$5),[1]qualifiche!$D$5,
IF(TRIM('[1]Personale di appoggio'!$F84)=TRIM([1]qualifiche!$E$6),[1]qualifiche!$D$6,
IF(TRIM('[1]Personale di appoggio'!$F84)=TRIM([1]qualifiche!$E$7),[1]qualifiche!$D$7,
IF(TRIM('[1]Personale di appoggio'!$F84)=TRIM([1]qualifiche!$E$8),[1]qualifiche!$D$8,
IF(TRIM('[1]Personale di appoggio'!$F84)=TRIM([1]qualifiche!$E$9),[1]qualifiche!$D$9,
IF(TRIM('[1]Personale di appoggio'!$F84)=TRIM([1]qualifiche!$E$10),[1]qualifiche!$D$10,
IF(TRIM('[1]Personale di appoggio'!$F84)=TRIM([1]qualifiche!$E$11),[1]qualifiche!$D$11,""))))))))))</f>
        <v>8</v>
      </c>
      <c r="G83" s="5" t="s">
        <v>463</v>
      </c>
      <c r="H83" s="5" t="s">
        <v>464</v>
      </c>
      <c r="I83" s="6" t="s">
        <v>465</v>
      </c>
      <c r="J83" s="7">
        <f>IF('[1]Personale di appoggio'!J84="X",1,0)</f>
        <v>0</v>
      </c>
      <c r="K83" s="7">
        <f>IF('[1]Personale di appoggio'!K84="X",1,0)</f>
        <v>0</v>
      </c>
      <c r="L83" s="7">
        <f>IF('[1]Personale di appoggio'!L84="X",1,0)</f>
        <v>0</v>
      </c>
      <c r="M83" s="7">
        <f>IF('[1]Personale di appoggio'!M84="X",1,0)</f>
        <v>0</v>
      </c>
      <c r="N83" s="3"/>
      <c r="O83" s="3"/>
      <c r="P83" s="11" t="str">
        <f>IF('[1]Personale di appoggio'!$P84="","",'[1]Personale di appoggio'!$P84)</f>
        <v/>
      </c>
      <c r="Q83" s="4" t="s">
        <v>6</v>
      </c>
      <c r="R83" s="4">
        <f t="shared" si="1"/>
        <v>4</v>
      </c>
    </row>
    <row r="84" spans="1:18" ht="31.5" x14ac:dyDescent="0.45">
      <c r="A84" s="9">
        <v>84</v>
      </c>
      <c r="B84" s="2" t="s">
        <v>466</v>
      </c>
      <c r="C84" s="3" t="s">
        <v>467</v>
      </c>
      <c r="D84" s="3" t="s">
        <v>256</v>
      </c>
      <c r="E84" s="4">
        <f>IFERROR(INDEX([1]uot!$A$2:$A$40, MATCH("*"&amp;'[1]Personale di appoggio'!$D85&amp;"*", [1]uot!$B$2:$B$40, 0)), "Valore non trovato")</f>
        <v>17</v>
      </c>
      <c r="F84" s="4">
        <f>IF(TRIM('[1]Personale di appoggio'!$F85)=TRIM([1]qualifiche!$E$2),[1]qualifiche!$D$2,
IF(TRIM('[1]Personale di appoggio'!$F85)=TRIM([1]qualifiche!$E$3),[1]qualifiche!$D$3,
IF(TRIM('[1]Personale di appoggio'!$F85)=TRIM([1]qualifiche!$E$4),[1]qualifiche!$D$4,
IF(TRIM('[1]Personale di appoggio'!$F85)=TRIM([1]qualifiche!$E$5),[1]qualifiche!$D$5,
IF(TRIM('[1]Personale di appoggio'!$F85)=TRIM([1]qualifiche!$E$6),[1]qualifiche!$D$6,
IF(TRIM('[1]Personale di appoggio'!$F85)=TRIM([1]qualifiche!$E$7),[1]qualifiche!$D$7,
IF(TRIM('[1]Personale di appoggio'!$F85)=TRIM([1]qualifiche!$E$8),[1]qualifiche!$D$8,
IF(TRIM('[1]Personale di appoggio'!$F85)=TRIM([1]qualifiche!$E$9),[1]qualifiche!$D$9,
IF(TRIM('[1]Personale di appoggio'!$F85)=TRIM([1]qualifiche!$E$10),[1]qualifiche!$D$10,
IF(TRIM('[1]Personale di appoggio'!$F85)=TRIM([1]qualifiche!$E$11),[1]qualifiche!$D$11,""))))))))))</f>
        <v>1</v>
      </c>
      <c r="G84" s="5" t="s">
        <v>468</v>
      </c>
      <c r="H84" s="5" t="s">
        <v>469</v>
      </c>
      <c r="I84" s="6" t="s">
        <v>470</v>
      </c>
      <c r="J84" s="7">
        <f>IF('[1]Personale di appoggio'!J85="X",1,0)</f>
        <v>1</v>
      </c>
      <c r="K84" s="7">
        <f>IF('[1]Personale di appoggio'!K85="X",1,0)</f>
        <v>1</v>
      </c>
      <c r="L84" s="7">
        <f>IF('[1]Personale di appoggio'!L85="X",1,0)</f>
        <v>1</v>
      </c>
      <c r="M84" s="7">
        <f>IF('[1]Personale di appoggio'!M85="X",1,0)</f>
        <v>1</v>
      </c>
      <c r="N84" s="3"/>
      <c r="O84" s="3"/>
      <c r="P84" s="11" t="str">
        <f>IF('[1]Personale di appoggio'!$P85="","",'[1]Personale di appoggio'!$P85)</f>
        <v/>
      </c>
      <c r="Q84" s="4" t="s">
        <v>6</v>
      </c>
      <c r="R84" s="4">
        <f t="shared" si="1"/>
        <v>1</v>
      </c>
    </row>
    <row r="85" spans="1:18" ht="31.5" x14ac:dyDescent="0.45">
      <c r="A85" s="9">
        <v>85</v>
      </c>
      <c r="B85" s="2" t="s">
        <v>471</v>
      </c>
      <c r="C85" s="3" t="s">
        <v>472</v>
      </c>
      <c r="D85" s="3" t="s">
        <v>473</v>
      </c>
      <c r="E85" s="4">
        <f>IFERROR(INDEX([1]uot!$A$2:$A$40, MATCH("*"&amp;'[1]Personale di appoggio'!$D86&amp;"*", [1]uot!$B$2:$B$40, 0)), "Valore non trovato")</f>
        <v>17</v>
      </c>
      <c r="F85" s="4">
        <f>IF(TRIM('[1]Personale di appoggio'!$F86)=TRIM([1]qualifiche!$E$2),[1]qualifiche!$D$2,
IF(TRIM('[1]Personale di appoggio'!$F86)=TRIM([1]qualifiche!$E$3),[1]qualifiche!$D$3,
IF(TRIM('[1]Personale di appoggio'!$F86)=TRIM([1]qualifiche!$E$4),[1]qualifiche!$D$4,
IF(TRIM('[1]Personale di appoggio'!$F86)=TRIM([1]qualifiche!$E$5),[1]qualifiche!$D$5,
IF(TRIM('[1]Personale di appoggio'!$F86)=TRIM([1]qualifiche!$E$6),[1]qualifiche!$D$6,
IF(TRIM('[1]Personale di appoggio'!$F86)=TRIM([1]qualifiche!$E$7),[1]qualifiche!$D$7,
IF(TRIM('[1]Personale di appoggio'!$F86)=TRIM([1]qualifiche!$E$8),[1]qualifiche!$D$8,
IF(TRIM('[1]Personale di appoggio'!$F86)=TRIM([1]qualifiche!$E$9),[1]qualifiche!$D$9,
IF(TRIM('[1]Personale di appoggio'!$F86)=TRIM([1]qualifiche!$E$10),[1]qualifiche!$D$10,
IF(TRIM('[1]Personale di appoggio'!$F86)=TRIM([1]qualifiche!$E$11),[1]qualifiche!$D$11,""))))))))))</f>
        <v>2</v>
      </c>
      <c r="G85" s="5" t="s">
        <v>474</v>
      </c>
      <c r="H85" s="5" t="s">
        <v>475</v>
      </c>
      <c r="I85" s="6" t="s">
        <v>476</v>
      </c>
      <c r="J85" s="7">
        <f>IF('[1]Personale di appoggio'!J86="X",1,0)</f>
        <v>0</v>
      </c>
      <c r="K85" s="7">
        <f>IF('[1]Personale di appoggio'!K86="X",1,0)</f>
        <v>1</v>
      </c>
      <c r="L85" s="7">
        <f>IF('[1]Personale di appoggio'!L86="X",1,0)</f>
        <v>1</v>
      </c>
      <c r="M85" s="7">
        <f>IF('[1]Personale di appoggio'!M86="X",1,0)</f>
        <v>0</v>
      </c>
      <c r="N85" s="3"/>
      <c r="O85" s="3"/>
      <c r="P85" s="11" t="str">
        <f>IF('[1]Personale di appoggio'!$P86="","",'[1]Personale di appoggio'!$P86)</f>
        <v/>
      </c>
      <c r="Q85" s="4" t="s">
        <v>6</v>
      </c>
      <c r="R85" s="4">
        <f t="shared" si="1"/>
        <v>2</v>
      </c>
    </row>
    <row r="86" spans="1:18" ht="31.5" x14ac:dyDescent="0.45">
      <c r="A86" s="9">
        <v>86</v>
      </c>
      <c r="B86" s="2" t="s">
        <v>477</v>
      </c>
      <c r="C86" s="3" t="s">
        <v>478</v>
      </c>
      <c r="D86" s="3" t="s">
        <v>479</v>
      </c>
      <c r="E86" s="4">
        <f>IFERROR(INDEX([1]uot!$A$2:$A$40, MATCH("*"&amp;'[1]Personale di appoggio'!$D87&amp;"*", [1]uot!$B$2:$B$40, 0)), "Valore non trovato")</f>
        <v>17</v>
      </c>
      <c r="F86" s="4">
        <f>IF(TRIM('[1]Personale di appoggio'!$F87)=TRIM([1]qualifiche!$E$2),[1]qualifiche!$D$2,
IF(TRIM('[1]Personale di appoggio'!$F87)=TRIM([1]qualifiche!$E$3),[1]qualifiche!$D$3,
IF(TRIM('[1]Personale di appoggio'!$F87)=TRIM([1]qualifiche!$E$4),[1]qualifiche!$D$4,
IF(TRIM('[1]Personale di appoggio'!$F87)=TRIM([1]qualifiche!$E$5),[1]qualifiche!$D$5,
IF(TRIM('[1]Personale di appoggio'!$F87)=TRIM([1]qualifiche!$E$6),[1]qualifiche!$D$6,
IF(TRIM('[1]Personale di appoggio'!$F87)=TRIM([1]qualifiche!$E$7),[1]qualifiche!$D$7,
IF(TRIM('[1]Personale di appoggio'!$F87)=TRIM([1]qualifiche!$E$8),[1]qualifiche!$D$8,
IF(TRIM('[1]Personale di appoggio'!$F87)=TRIM([1]qualifiche!$E$9),[1]qualifiche!$D$9,
IF(TRIM('[1]Personale di appoggio'!$F87)=TRIM([1]qualifiche!$E$10),[1]qualifiche!$D$10,
IF(TRIM('[1]Personale di appoggio'!$F87)=TRIM([1]qualifiche!$E$11),[1]qualifiche!$D$11,""))))))))))</f>
        <v>3</v>
      </c>
      <c r="G86" s="5" t="s">
        <v>480</v>
      </c>
      <c r="H86" s="5" t="s">
        <v>481</v>
      </c>
      <c r="I86" s="6" t="s">
        <v>482</v>
      </c>
      <c r="J86" s="7">
        <f>IF('[1]Personale di appoggio'!J87="X",1,0)</f>
        <v>0</v>
      </c>
      <c r="K86" s="7">
        <f>IF('[1]Personale di appoggio'!K87="X",1,0)</f>
        <v>0</v>
      </c>
      <c r="L86" s="7">
        <f>IF('[1]Personale di appoggio'!L87="X",1,0)</f>
        <v>0</v>
      </c>
      <c r="M86" s="7">
        <f>IF('[1]Personale di appoggio'!M87="X",1,0)</f>
        <v>0</v>
      </c>
      <c r="N86" s="3"/>
      <c r="O86" s="3"/>
      <c r="P86" s="11" t="str">
        <f>IF('[1]Personale di appoggio'!$P87="","",'[1]Personale di appoggio'!$P87)</f>
        <v/>
      </c>
      <c r="Q86" s="4" t="s">
        <v>6</v>
      </c>
      <c r="R86" s="4">
        <f t="shared" si="1"/>
        <v>4</v>
      </c>
    </row>
    <row r="87" spans="1:18" ht="31.5" x14ac:dyDescent="0.45">
      <c r="A87" s="9">
        <v>87</v>
      </c>
      <c r="B87" s="2" t="s">
        <v>483</v>
      </c>
      <c r="C87" s="3" t="s">
        <v>484</v>
      </c>
      <c r="D87" s="3" t="s">
        <v>295</v>
      </c>
      <c r="E87" s="4">
        <f>IFERROR(INDEX([1]uot!$A$2:$A$40, MATCH("*"&amp;'[1]Personale di appoggio'!$D88&amp;"*", [1]uot!$B$2:$B$40, 0)), "Valore non trovato")</f>
        <v>17</v>
      </c>
      <c r="F87" s="4">
        <f>IF(TRIM('[1]Personale di appoggio'!$F88)=TRIM([1]qualifiche!$E$2),[1]qualifiche!$D$2,
IF(TRIM('[1]Personale di appoggio'!$F88)=TRIM([1]qualifiche!$E$3),[1]qualifiche!$D$3,
IF(TRIM('[1]Personale di appoggio'!$F88)=TRIM([1]qualifiche!$E$4),[1]qualifiche!$D$4,
IF(TRIM('[1]Personale di appoggio'!$F88)=TRIM([1]qualifiche!$E$5),[1]qualifiche!$D$5,
IF(TRIM('[1]Personale di appoggio'!$F88)=TRIM([1]qualifiche!$E$6),[1]qualifiche!$D$6,
IF(TRIM('[1]Personale di appoggio'!$F88)=TRIM([1]qualifiche!$E$7),[1]qualifiche!$D$7,
IF(TRIM('[1]Personale di appoggio'!$F88)=TRIM([1]qualifiche!$E$8),[1]qualifiche!$D$8,
IF(TRIM('[1]Personale di appoggio'!$F88)=TRIM([1]qualifiche!$E$9),[1]qualifiche!$D$9,
IF(TRIM('[1]Personale di appoggio'!$F88)=TRIM([1]qualifiche!$E$10),[1]qualifiche!$D$10,
IF(TRIM('[1]Personale di appoggio'!$F88)=TRIM([1]qualifiche!$E$11),[1]qualifiche!$D$11,""))))))))))</f>
        <v>7</v>
      </c>
      <c r="G87" s="5" t="s">
        <v>485</v>
      </c>
      <c r="H87" s="5" t="s">
        <v>486</v>
      </c>
      <c r="I87" s="6" t="s">
        <v>487</v>
      </c>
      <c r="J87" s="7">
        <f>IF('[1]Personale di appoggio'!J88="X",1,0)</f>
        <v>0</v>
      </c>
      <c r="K87" s="7">
        <f>IF('[1]Personale di appoggio'!K88="X",1,0)</f>
        <v>0</v>
      </c>
      <c r="L87" s="7">
        <f>IF('[1]Personale di appoggio'!L88="X",1,0)</f>
        <v>0</v>
      </c>
      <c r="M87" s="7">
        <f>IF('[1]Personale di appoggio'!M88="X",1,0)</f>
        <v>0</v>
      </c>
      <c r="N87" s="3"/>
      <c r="O87" s="3"/>
      <c r="P87" s="11" t="str">
        <f>IF('[1]Personale di appoggio'!$P88="","",'[1]Personale di appoggio'!$P88)</f>
        <v/>
      </c>
      <c r="Q87" s="4" t="s">
        <v>6</v>
      </c>
      <c r="R87" s="4">
        <f t="shared" si="1"/>
        <v>4</v>
      </c>
    </row>
    <row r="88" spans="1:18" ht="31.5" x14ac:dyDescent="0.45">
      <c r="A88" s="9">
        <v>88</v>
      </c>
      <c r="B88" s="2" t="s">
        <v>488</v>
      </c>
      <c r="C88" s="3" t="s">
        <v>489</v>
      </c>
      <c r="D88" s="3" t="s">
        <v>490</v>
      </c>
      <c r="E88" s="4">
        <f>IFERROR(INDEX([1]uot!$A$2:$A$40, MATCH("*"&amp;'[1]Personale di appoggio'!$D89&amp;"*", [1]uot!$B$2:$B$40, 0)), "Valore non trovato")</f>
        <v>35</v>
      </c>
      <c r="F88" s="4">
        <f>IF(TRIM('[1]Personale di appoggio'!$F89)=TRIM([1]qualifiche!$E$2),[1]qualifiche!$D$2,
IF(TRIM('[1]Personale di appoggio'!$F89)=TRIM([1]qualifiche!$E$3),[1]qualifiche!$D$3,
IF(TRIM('[1]Personale di appoggio'!$F89)=TRIM([1]qualifiche!$E$4),[1]qualifiche!$D$4,
IF(TRIM('[1]Personale di appoggio'!$F89)=TRIM([1]qualifiche!$E$5),[1]qualifiche!$D$5,
IF(TRIM('[1]Personale di appoggio'!$F89)=TRIM([1]qualifiche!$E$6),[1]qualifiche!$D$6,
IF(TRIM('[1]Personale di appoggio'!$F89)=TRIM([1]qualifiche!$E$7),[1]qualifiche!$D$7,
IF(TRIM('[1]Personale di appoggio'!$F89)=TRIM([1]qualifiche!$E$8),[1]qualifiche!$D$8,
IF(TRIM('[1]Personale di appoggio'!$F89)=TRIM([1]qualifiche!$E$9),[1]qualifiche!$D$9,
IF(TRIM('[1]Personale di appoggio'!$F89)=TRIM([1]qualifiche!$E$10),[1]qualifiche!$D$10,
IF(TRIM('[1]Personale di appoggio'!$F89)=TRIM([1]qualifiche!$E$11),[1]qualifiche!$D$11,""))))))))))</f>
        <v>1</v>
      </c>
      <c r="G88" s="5" t="s">
        <v>491</v>
      </c>
      <c r="H88" s="5" t="s">
        <v>492</v>
      </c>
      <c r="I88" s="6" t="s">
        <v>493</v>
      </c>
      <c r="J88" s="7">
        <f>IF('[1]Personale di appoggio'!J89="X",1,0)</f>
        <v>0</v>
      </c>
      <c r="K88" s="7">
        <f>IF('[1]Personale di appoggio'!K89="X",1,0)</f>
        <v>0</v>
      </c>
      <c r="L88" s="7">
        <f>IF('[1]Personale di appoggio'!L89="X",1,0)</f>
        <v>0</v>
      </c>
      <c r="M88" s="7">
        <f>IF('[1]Personale di appoggio'!M89="X",1,0)</f>
        <v>0</v>
      </c>
      <c r="N88" s="3"/>
      <c r="O88" s="3"/>
      <c r="P88" s="11" t="str">
        <f>IF('[1]Personale di appoggio'!$P89="","",'[1]Personale di appoggio'!$P89)</f>
        <v/>
      </c>
      <c r="Q88" s="4" t="s">
        <v>6</v>
      </c>
      <c r="R88" s="4">
        <f t="shared" si="1"/>
        <v>4</v>
      </c>
    </row>
    <row r="89" spans="1:18" ht="57" x14ac:dyDescent="0.45">
      <c r="A89" s="9">
        <v>89</v>
      </c>
      <c r="B89" s="2" t="s">
        <v>494</v>
      </c>
      <c r="C89" s="3" t="s">
        <v>495</v>
      </c>
      <c r="D89" s="3" t="s">
        <v>496</v>
      </c>
      <c r="E89" s="4">
        <f>IFERROR(INDEX([1]uot!$A$2:$A$40, MATCH("*"&amp;'[1]Personale di appoggio'!$D90&amp;"*", [1]uot!$B$2:$B$40, 0)), "Valore non trovato")</f>
        <v>35</v>
      </c>
      <c r="F89" s="4">
        <f>IF(TRIM('[1]Personale di appoggio'!$F90)=TRIM([1]qualifiche!$E$2),[1]qualifiche!$D$2,
IF(TRIM('[1]Personale di appoggio'!$F90)=TRIM([1]qualifiche!$E$3),[1]qualifiche!$D$3,
IF(TRIM('[1]Personale di appoggio'!$F90)=TRIM([1]qualifiche!$E$4),[1]qualifiche!$D$4,
IF(TRIM('[1]Personale di appoggio'!$F90)=TRIM([1]qualifiche!$E$5),[1]qualifiche!$D$5,
IF(TRIM('[1]Personale di appoggio'!$F90)=TRIM([1]qualifiche!$E$6),[1]qualifiche!$D$6,
IF(TRIM('[1]Personale di appoggio'!$F90)=TRIM([1]qualifiche!$E$7),[1]qualifiche!$D$7,
IF(TRIM('[1]Personale di appoggio'!$F90)=TRIM([1]qualifiche!$E$8),[1]qualifiche!$D$8,
IF(TRIM('[1]Personale di appoggio'!$F90)=TRIM([1]qualifiche!$E$9),[1]qualifiche!$D$9,
IF(TRIM('[1]Personale di appoggio'!$F90)=TRIM([1]qualifiche!$E$10),[1]qualifiche!$D$10,
IF(TRIM('[1]Personale di appoggio'!$F90)=TRIM([1]qualifiche!$E$11),[1]qualifiche!$D$11,""))))))))))</f>
        <v>2</v>
      </c>
      <c r="G89" s="5" t="s">
        <v>497</v>
      </c>
      <c r="H89" s="5" t="s">
        <v>498</v>
      </c>
      <c r="I89" s="6" t="s">
        <v>499</v>
      </c>
      <c r="J89" s="7">
        <f>IF('[1]Personale di appoggio'!J90="X",1,0)</f>
        <v>0</v>
      </c>
      <c r="K89" s="7">
        <f>IF('[1]Personale di appoggio'!K90="X",1,0)</f>
        <v>0</v>
      </c>
      <c r="L89" s="7">
        <f>IF('[1]Personale di appoggio'!L90="X",1,0)</f>
        <v>0</v>
      </c>
      <c r="M89" s="7">
        <f>IF('[1]Personale di appoggio'!M90="X",1,0)</f>
        <v>0</v>
      </c>
      <c r="N89" s="3"/>
      <c r="O89" s="3"/>
      <c r="P89" s="11" t="str">
        <f>IF('[1]Personale di appoggio'!$P90="","",'[1]Personale di appoggio'!$P90)</f>
        <v/>
      </c>
      <c r="Q89" s="4" t="s">
        <v>6</v>
      </c>
      <c r="R89" s="4">
        <f t="shared" si="1"/>
        <v>4</v>
      </c>
    </row>
    <row r="90" spans="1:18" ht="31.5" x14ac:dyDescent="0.45">
      <c r="A90" s="9">
        <v>90</v>
      </c>
      <c r="B90" s="2" t="s">
        <v>500</v>
      </c>
      <c r="C90" s="3" t="s">
        <v>501</v>
      </c>
      <c r="D90" s="3" t="s">
        <v>502</v>
      </c>
      <c r="E90" s="4">
        <f>IFERROR(INDEX([1]uot!$A$2:$A$40, MATCH("*"&amp;'[1]Personale di appoggio'!$D91&amp;"*", [1]uot!$B$2:$B$40, 0)), "Valore non trovato")</f>
        <v>35</v>
      </c>
      <c r="F90" s="4">
        <f>IF(TRIM('[1]Personale di appoggio'!$F91)=TRIM([1]qualifiche!$E$2),[1]qualifiche!$D$2,
IF(TRIM('[1]Personale di appoggio'!$F91)=TRIM([1]qualifiche!$E$3),[1]qualifiche!$D$3,
IF(TRIM('[1]Personale di appoggio'!$F91)=TRIM([1]qualifiche!$E$4),[1]qualifiche!$D$4,
IF(TRIM('[1]Personale di appoggio'!$F91)=TRIM([1]qualifiche!$E$5),[1]qualifiche!$D$5,
IF(TRIM('[1]Personale di appoggio'!$F91)=TRIM([1]qualifiche!$E$6),[1]qualifiche!$D$6,
IF(TRIM('[1]Personale di appoggio'!$F91)=TRIM([1]qualifiche!$E$7),[1]qualifiche!$D$7,
IF(TRIM('[1]Personale di appoggio'!$F91)=TRIM([1]qualifiche!$E$8),[1]qualifiche!$D$8,
IF(TRIM('[1]Personale di appoggio'!$F91)=TRIM([1]qualifiche!$E$9),[1]qualifiche!$D$9,
IF(TRIM('[1]Personale di appoggio'!$F91)=TRIM([1]qualifiche!$E$10),[1]qualifiche!$D$10,
IF(TRIM('[1]Personale di appoggio'!$F91)=TRIM([1]qualifiche!$E$11),[1]qualifiche!$D$11,""))))))))))</f>
        <v>2</v>
      </c>
      <c r="G90" s="5" t="s">
        <v>503</v>
      </c>
      <c r="H90" s="5" t="s">
        <v>504</v>
      </c>
      <c r="I90" s="6" t="s">
        <v>505</v>
      </c>
      <c r="J90" s="7">
        <f>IF('[1]Personale di appoggio'!J91="X",1,0)</f>
        <v>0</v>
      </c>
      <c r="K90" s="7">
        <f>IF('[1]Personale di appoggio'!K91="X",1,0)</f>
        <v>0</v>
      </c>
      <c r="L90" s="7">
        <f>IF('[1]Personale di appoggio'!L91="X",1,0)</f>
        <v>0</v>
      </c>
      <c r="M90" s="7">
        <f>IF('[1]Personale di appoggio'!M91="X",1,0)</f>
        <v>0</v>
      </c>
      <c r="N90" s="3"/>
      <c r="O90" s="3"/>
      <c r="P90" s="11" t="str">
        <f>IF('[1]Personale di appoggio'!$P91="","",'[1]Personale di appoggio'!$P91)</f>
        <v/>
      </c>
      <c r="Q90" s="4" t="s">
        <v>6</v>
      </c>
      <c r="R90" s="4">
        <f t="shared" si="1"/>
        <v>4</v>
      </c>
    </row>
    <row r="91" spans="1:18" ht="42.75" x14ac:dyDescent="0.45">
      <c r="A91" s="9">
        <v>91</v>
      </c>
      <c r="B91" s="2" t="s">
        <v>506</v>
      </c>
      <c r="C91" s="3" t="s">
        <v>507</v>
      </c>
      <c r="D91" s="3" t="s">
        <v>352</v>
      </c>
      <c r="E91" s="4">
        <f>IFERROR(INDEX([1]uot!$A$2:$A$40, MATCH("*"&amp;'[1]Personale di appoggio'!$D92&amp;"*", [1]uot!$B$2:$B$40, 0)), "Valore non trovato")</f>
        <v>35</v>
      </c>
      <c r="F91" s="4">
        <f>IF(TRIM('[1]Personale di appoggio'!$F92)=TRIM([1]qualifiche!$E$2),[1]qualifiche!$D$2,
IF(TRIM('[1]Personale di appoggio'!$F92)=TRIM([1]qualifiche!$E$3),[1]qualifiche!$D$3,
IF(TRIM('[1]Personale di appoggio'!$F92)=TRIM([1]qualifiche!$E$4),[1]qualifiche!$D$4,
IF(TRIM('[1]Personale di appoggio'!$F92)=TRIM([1]qualifiche!$E$5),[1]qualifiche!$D$5,
IF(TRIM('[1]Personale di appoggio'!$F92)=TRIM([1]qualifiche!$E$6),[1]qualifiche!$D$6,
IF(TRIM('[1]Personale di appoggio'!$F92)=TRIM([1]qualifiche!$E$7),[1]qualifiche!$D$7,
IF(TRIM('[1]Personale di appoggio'!$F92)=TRIM([1]qualifiche!$E$8),[1]qualifiche!$D$8,
IF(TRIM('[1]Personale di appoggio'!$F92)=TRIM([1]qualifiche!$E$9),[1]qualifiche!$D$9,
IF(TRIM('[1]Personale di appoggio'!$F92)=TRIM([1]qualifiche!$E$10),[1]qualifiche!$D$10,
IF(TRIM('[1]Personale di appoggio'!$F92)=TRIM([1]qualifiche!$E$11),[1]qualifiche!$D$11,""))))))))))</f>
        <v>2</v>
      </c>
      <c r="G91" s="5" t="s">
        <v>508</v>
      </c>
      <c r="H91" s="5" t="s">
        <v>509</v>
      </c>
      <c r="I91" s="6" t="s">
        <v>510</v>
      </c>
      <c r="J91" s="7">
        <f>IF('[1]Personale di appoggio'!J92="X",1,0)</f>
        <v>0</v>
      </c>
      <c r="K91" s="7">
        <f>IF('[1]Personale di appoggio'!K92="X",1,0)</f>
        <v>0</v>
      </c>
      <c r="L91" s="7">
        <f>IF('[1]Personale di appoggio'!L92="X",1,0)</f>
        <v>0</v>
      </c>
      <c r="M91" s="7">
        <f>IF('[1]Personale di appoggio'!M92="X",1,0)</f>
        <v>0</v>
      </c>
      <c r="N91" s="3"/>
      <c r="O91" s="3"/>
      <c r="P91" s="11" t="str">
        <f>IF('[1]Personale di appoggio'!$P92="","",'[1]Personale di appoggio'!$P92)</f>
        <v/>
      </c>
      <c r="Q91" s="4" t="s">
        <v>6</v>
      </c>
      <c r="R91" s="4">
        <f t="shared" si="1"/>
        <v>4</v>
      </c>
    </row>
    <row r="92" spans="1:18" ht="31.5" x14ac:dyDescent="0.45">
      <c r="A92" s="9">
        <v>92</v>
      </c>
      <c r="B92" s="2" t="s">
        <v>511</v>
      </c>
      <c r="C92" s="3" t="s">
        <v>512</v>
      </c>
      <c r="D92" s="3" t="s">
        <v>513</v>
      </c>
      <c r="E92" s="4">
        <f>IFERROR(INDEX([1]uot!$A$2:$A$40, MATCH("*"&amp;'[1]Personale di appoggio'!$D93&amp;"*", [1]uot!$B$2:$B$40, 0)), "Valore non trovato")</f>
        <v>35</v>
      </c>
      <c r="F92" s="4">
        <f>IF(TRIM('[1]Personale di appoggio'!$F93)=TRIM([1]qualifiche!$E$2),[1]qualifiche!$D$2,
IF(TRIM('[1]Personale di appoggio'!$F93)=TRIM([1]qualifiche!$E$3),[1]qualifiche!$D$3,
IF(TRIM('[1]Personale di appoggio'!$F93)=TRIM([1]qualifiche!$E$4),[1]qualifiche!$D$4,
IF(TRIM('[1]Personale di appoggio'!$F93)=TRIM([1]qualifiche!$E$5),[1]qualifiche!$D$5,
IF(TRIM('[1]Personale di appoggio'!$F93)=TRIM([1]qualifiche!$E$6),[1]qualifiche!$D$6,
IF(TRIM('[1]Personale di appoggio'!$F93)=TRIM([1]qualifiche!$E$7),[1]qualifiche!$D$7,
IF(TRIM('[1]Personale di appoggio'!$F93)=TRIM([1]qualifiche!$E$8),[1]qualifiche!$D$8,
IF(TRIM('[1]Personale di appoggio'!$F93)=TRIM([1]qualifiche!$E$9),[1]qualifiche!$D$9,
IF(TRIM('[1]Personale di appoggio'!$F93)=TRIM([1]qualifiche!$E$10),[1]qualifiche!$D$10,
IF(TRIM('[1]Personale di appoggio'!$F93)=TRIM([1]qualifiche!$E$11),[1]qualifiche!$D$11,""))))))))))</f>
        <v>3</v>
      </c>
      <c r="G92" s="5" t="s">
        <v>514</v>
      </c>
      <c r="H92" s="5" t="s">
        <v>515</v>
      </c>
      <c r="I92" s="6" t="s">
        <v>516</v>
      </c>
      <c r="J92" s="7">
        <f>IF('[1]Personale di appoggio'!J93="X",1,0)</f>
        <v>0</v>
      </c>
      <c r="K92" s="7">
        <f>IF('[1]Personale di appoggio'!K93="X",1,0)</f>
        <v>0</v>
      </c>
      <c r="L92" s="7">
        <f>IF('[1]Personale di appoggio'!L93="X",1,0)</f>
        <v>0</v>
      </c>
      <c r="M92" s="7">
        <f>IF('[1]Personale di appoggio'!M93="X",1,0)</f>
        <v>0</v>
      </c>
      <c r="N92" s="3"/>
      <c r="O92" s="3"/>
      <c r="P92" s="11" t="str">
        <f>IF('[1]Personale di appoggio'!$P93="","",'[1]Personale di appoggio'!$P93)</f>
        <v/>
      </c>
      <c r="Q92" s="4" t="s">
        <v>6</v>
      </c>
      <c r="R92" s="4">
        <f t="shared" si="1"/>
        <v>4</v>
      </c>
    </row>
    <row r="93" spans="1:18" ht="31.5" x14ac:dyDescent="0.45">
      <c r="A93" s="9">
        <v>93</v>
      </c>
      <c r="B93" s="2" t="s">
        <v>517</v>
      </c>
      <c r="C93" s="3" t="s">
        <v>518</v>
      </c>
      <c r="D93" s="3" t="s">
        <v>519</v>
      </c>
      <c r="E93" s="4">
        <f>IFERROR(INDEX([1]uot!$A$2:$A$40, MATCH("*"&amp;'[1]Personale di appoggio'!$D94&amp;"*", [1]uot!$B$2:$B$40, 0)), "Valore non trovato")</f>
        <v>35</v>
      </c>
      <c r="F93" s="4">
        <f>IF(TRIM('[1]Personale di appoggio'!$F94)=TRIM([1]qualifiche!$E$2),[1]qualifiche!$D$2,
IF(TRIM('[1]Personale di appoggio'!$F94)=TRIM([1]qualifiche!$E$3),[1]qualifiche!$D$3,
IF(TRIM('[1]Personale di appoggio'!$F94)=TRIM([1]qualifiche!$E$4),[1]qualifiche!$D$4,
IF(TRIM('[1]Personale di appoggio'!$F94)=TRIM([1]qualifiche!$E$5),[1]qualifiche!$D$5,
IF(TRIM('[1]Personale di appoggio'!$F94)=TRIM([1]qualifiche!$E$6),[1]qualifiche!$D$6,
IF(TRIM('[1]Personale di appoggio'!$F94)=TRIM([1]qualifiche!$E$7),[1]qualifiche!$D$7,
IF(TRIM('[1]Personale di appoggio'!$F94)=TRIM([1]qualifiche!$E$8),[1]qualifiche!$D$8,
IF(TRIM('[1]Personale di appoggio'!$F94)=TRIM([1]qualifiche!$E$9),[1]qualifiche!$D$9,
IF(TRIM('[1]Personale di appoggio'!$F94)=TRIM([1]qualifiche!$E$10),[1]qualifiche!$D$10,
IF(TRIM('[1]Personale di appoggio'!$F94)=TRIM([1]qualifiche!$E$11),[1]qualifiche!$D$11,""))))))))))</f>
        <v>4</v>
      </c>
      <c r="G93" s="5" t="s">
        <v>520</v>
      </c>
      <c r="H93" s="5" t="s">
        <v>521</v>
      </c>
      <c r="I93" s="6" t="s">
        <v>522</v>
      </c>
      <c r="J93" s="7">
        <f>IF('[1]Personale di appoggio'!J94="X",1,0)</f>
        <v>0</v>
      </c>
      <c r="K93" s="7">
        <f>IF('[1]Personale di appoggio'!K94="X",1,0)</f>
        <v>0</v>
      </c>
      <c r="L93" s="7">
        <f>IF('[1]Personale di appoggio'!L94="X",1,0)</f>
        <v>0</v>
      </c>
      <c r="M93" s="7">
        <f>IF('[1]Personale di appoggio'!M94="X",1,0)</f>
        <v>0</v>
      </c>
      <c r="N93" s="3"/>
      <c r="O93" s="3"/>
      <c r="P93" s="11" t="str">
        <f>IF('[1]Personale di appoggio'!$P94="","",'[1]Personale di appoggio'!$P94)</f>
        <v/>
      </c>
      <c r="Q93" s="4" t="s">
        <v>6</v>
      </c>
      <c r="R93" s="4">
        <f t="shared" si="1"/>
        <v>4</v>
      </c>
    </row>
    <row r="94" spans="1:18" ht="31.5" x14ac:dyDescent="0.45">
      <c r="A94" s="9">
        <v>94</v>
      </c>
      <c r="B94" s="2" t="s">
        <v>523</v>
      </c>
      <c r="C94" s="3" t="s">
        <v>524</v>
      </c>
      <c r="D94" s="3" t="s">
        <v>525</v>
      </c>
      <c r="E94" s="4">
        <f>IFERROR(INDEX([1]uot!$A$2:$A$40, MATCH("*"&amp;'[1]Personale di appoggio'!$D95&amp;"*", [1]uot!$B$2:$B$40, 0)), "Valore non trovato")</f>
        <v>35</v>
      </c>
      <c r="F94" s="4">
        <f>IF(TRIM('[1]Personale di appoggio'!$F95)=TRIM([1]qualifiche!$E$2),[1]qualifiche!$D$2,
IF(TRIM('[1]Personale di appoggio'!$F95)=TRIM([1]qualifiche!$E$3),[1]qualifiche!$D$3,
IF(TRIM('[1]Personale di appoggio'!$F95)=TRIM([1]qualifiche!$E$4),[1]qualifiche!$D$4,
IF(TRIM('[1]Personale di appoggio'!$F95)=TRIM([1]qualifiche!$E$5),[1]qualifiche!$D$5,
IF(TRIM('[1]Personale di appoggio'!$F95)=TRIM([1]qualifiche!$E$6),[1]qualifiche!$D$6,
IF(TRIM('[1]Personale di appoggio'!$F95)=TRIM([1]qualifiche!$E$7),[1]qualifiche!$D$7,
IF(TRIM('[1]Personale di appoggio'!$F95)=TRIM([1]qualifiche!$E$8),[1]qualifiche!$D$8,
IF(TRIM('[1]Personale di appoggio'!$F95)=TRIM([1]qualifiche!$E$9),[1]qualifiche!$D$9,
IF(TRIM('[1]Personale di appoggio'!$F95)=TRIM([1]qualifiche!$E$10),[1]qualifiche!$D$10,
IF(TRIM('[1]Personale di appoggio'!$F95)=TRIM([1]qualifiche!$E$11),[1]qualifiche!$D$11,""))))))))))</f>
        <v>4</v>
      </c>
      <c r="G94" s="5" t="s">
        <v>526</v>
      </c>
      <c r="H94" s="5" t="s">
        <v>527</v>
      </c>
      <c r="I94" s="6" t="s">
        <v>528</v>
      </c>
      <c r="J94" s="7">
        <f>IF('[1]Personale di appoggio'!J95="X",1,0)</f>
        <v>0</v>
      </c>
      <c r="K94" s="7">
        <f>IF('[1]Personale di appoggio'!K95="X",1,0)</f>
        <v>0</v>
      </c>
      <c r="L94" s="7">
        <f>IF('[1]Personale di appoggio'!L95="X",1,0)</f>
        <v>0</v>
      </c>
      <c r="M94" s="7">
        <f>IF('[1]Personale di appoggio'!M95="X",1,0)</f>
        <v>0</v>
      </c>
      <c r="N94" s="3"/>
      <c r="O94" s="3"/>
      <c r="P94" s="11" t="str">
        <f>IF('[1]Personale di appoggio'!$P95="","",'[1]Personale di appoggio'!$P95)</f>
        <v/>
      </c>
      <c r="Q94" s="4" t="s">
        <v>6</v>
      </c>
      <c r="R94" s="4">
        <f t="shared" si="1"/>
        <v>4</v>
      </c>
    </row>
    <row r="95" spans="1:18" ht="31.5" x14ac:dyDescent="0.45">
      <c r="A95" s="9">
        <v>95</v>
      </c>
      <c r="B95" s="2" t="s">
        <v>529</v>
      </c>
      <c r="C95" s="3" t="s">
        <v>530</v>
      </c>
      <c r="D95" s="3" t="s">
        <v>406</v>
      </c>
      <c r="E95" s="4">
        <f>IFERROR(INDEX([1]uot!$A$2:$A$40, MATCH("*"&amp;'[1]Personale di appoggio'!$D96&amp;"*", [1]uot!$B$2:$B$40, 0)), "Valore non trovato")</f>
        <v>35</v>
      </c>
      <c r="F95" s="4">
        <f>IF(TRIM('[1]Personale di appoggio'!$F96)=TRIM([1]qualifiche!$E$2),[1]qualifiche!$D$2,
IF(TRIM('[1]Personale di appoggio'!$F96)=TRIM([1]qualifiche!$E$3),[1]qualifiche!$D$3,
IF(TRIM('[1]Personale di appoggio'!$F96)=TRIM([1]qualifiche!$E$4),[1]qualifiche!$D$4,
IF(TRIM('[1]Personale di appoggio'!$F96)=TRIM([1]qualifiche!$E$5),[1]qualifiche!$D$5,
IF(TRIM('[1]Personale di appoggio'!$F96)=TRIM([1]qualifiche!$E$6),[1]qualifiche!$D$6,
IF(TRIM('[1]Personale di appoggio'!$F96)=TRIM([1]qualifiche!$E$7),[1]qualifiche!$D$7,
IF(TRIM('[1]Personale di appoggio'!$F96)=TRIM([1]qualifiche!$E$8),[1]qualifiche!$D$8,
IF(TRIM('[1]Personale di appoggio'!$F96)=TRIM([1]qualifiche!$E$9),[1]qualifiche!$D$9,
IF(TRIM('[1]Personale di appoggio'!$F96)=TRIM([1]qualifiche!$E$10),[1]qualifiche!$D$10,
IF(TRIM('[1]Personale di appoggio'!$F96)=TRIM([1]qualifiche!$E$11),[1]qualifiche!$D$11,""))))))))))</f>
        <v>4</v>
      </c>
      <c r="G95" s="5" t="s">
        <v>531</v>
      </c>
      <c r="H95" s="5" t="s">
        <v>532</v>
      </c>
      <c r="I95" s="6" t="s">
        <v>533</v>
      </c>
      <c r="J95" s="7">
        <f>IF('[1]Personale di appoggio'!J96="X",1,0)</f>
        <v>0</v>
      </c>
      <c r="K95" s="7">
        <f>IF('[1]Personale di appoggio'!K96="X",1,0)</f>
        <v>0</v>
      </c>
      <c r="L95" s="7">
        <f>IF('[1]Personale di appoggio'!L96="X",1,0)</f>
        <v>0</v>
      </c>
      <c r="M95" s="7">
        <f>IF('[1]Personale di appoggio'!M96="X",1,0)</f>
        <v>0</v>
      </c>
      <c r="N95" s="3"/>
      <c r="O95" s="3"/>
      <c r="P95" s="11" t="str">
        <f>IF('[1]Personale di appoggio'!$P96="","",'[1]Personale di appoggio'!$P96)</f>
        <v/>
      </c>
      <c r="Q95" s="4" t="s">
        <v>6</v>
      </c>
      <c r="R95" s="4">
        <f t="shared" si="1"/>
        <v>4</v>
      </c>
    </row>
    <row r="96" spans="1:18" ht="31.5" x14ac:dyDescent="0.45">
      <c r="A96" s="9">
        <v>96</v>
      </c>
      <c r="B96" s="2" t="s">
        <v>534</v>
      </c>
      <c r="C96" s="3" t="s">
        <v>535</v>
      </c>
      <c r="D96" s="3" t="s">
        <v>536</v>
      </c>
      <c r="E96" s="4">
        <f>IFERROR(INDEX([1]uot!$A$2:$A$40, MATCH("*"&amp;'[1]Personale di appoggio'!$D97&amp;"*", [1]uot!$B$2:$B$40, 0)), "Valore non trovato")</f>
        <v>35</v>
      </c>
      <c r="F96" s="4">
        <f>IF(TRIM('[1]Personale di appoggio'!$F97)=TRIM([1]qualifiche!$E$2),[1]qualifiche!$D$2,
IF(TRIM('[1]Personale di appoggio'!$F97)=TRIM([1]qualifiche!$E$3),[1]qualifiche!$D$3,
IF(TRIM('[1]Personale di appoggio'!$F97)=TRIM([1]qualifiche!$E$4),[1]qualifiche!$D$4,
IF(TRIM('[1]Personale di appoggio'!$F97)=TRIM([1]qualifiche!$E$5),[1]qualifiche!$D$5,
IF(TRIM('[1]Personale di appoggio'!$F97)=TRIM([1]qualifiche!$E$6),[1]qualifiche!$D$6,
IF(TRIM('[1]Personale di appoggio'!$F97)=TRIM([1]qualifiche!$E$7),[1]qualifiche!$D$7,
IF(TRIM('[1]Personale di appoggio'!$F97)=TRIM([1]qualifiche!$E$8),[1]qualifiche!$D$8,
IF(TRIM('[1]Personale di appoggio'!$F97)=TRIM([1]qualifiche!$E$9),[1]qualifiche!$D$9,
IF(TRIM('[1]Personale di appoggio'!$F97)=TRIM([1]qualifiche!$E$10),[1]qualifiche!$D$10,
IF(TRIM('[1]Personale di appoggio'!$F97)=TRIM([1]qualifiche!$E$11),[1]qualifiche!$D$11,""))))))))))</f>
        <v>4</v>
      </c>
      <c r="G96" s="5" t="s">
        <v>537</v>
      </c>
      <c r="H96" s="5" t="s">
        <v>538</v>
      </c>
      <c r="I96" s="6" t="s">
        <v>539</v>
      </c>
      <c r="J96" s="7">
        <f>IF('[1]Personale di appoggio'!J97="X",1,0)</f>
        <v>0</v>
      </c>
      <c r="K96" s="7">
        <f>IF('[1]Personale di appoggio'!K97="X",1,0)</f>
        <v>0</v>
      </c>
      <c r="L96" s="7">
        <f>IF('[1]Personale di appoggio'!L97="X",1,0)</f>
        <v>0</v>
      </c>
      <c r="M96" s="7">
        <f>IF('[1]Personale di appoggio'!M97="X",1,0)</f>
        <v>0</v>
      </c>
      <c r="N96" s="3"/>
      <c r="O96" s="3"/>
      <c r="P96" s="11" t="str">
        <f>IF('[1]Personale di appoggio'!$P97="","",'[1]Personale di appoggio'!$P97)</f>
        <v/>
      </c>
      <c r="Q96" s="4" t="s">
        <v>6</v>
      </c>
      <c r="R96" s="4">
        <f t="shared" si="1"/>
        <v>4</v>
      </c>
    </row>
    <row r="97" spans="1:18" ht="31.5" x14ac:dyDescent="0.45">
      <c r="A97" s="9">
        <v>97</v>
      </c>
      <c r="B97" s="2" t="s">
        <v>540</v>
      </c>
      <c r="C97" s="3" t="s">
        <v>541</v>
      </c>
      <c r="D97" s="3" t="s">
        <v>211</v>
      </c>
      <c r="E97" s="4">
        <f>IFERROR(INDEX([1]uot!$A$2:$A$40, MATCH("*"&amp;'[1]Personale di appoggio'!$D98&amp;"*", [1]uot!$B$2:$B$40, 0)), "Valore non trovato")</f>
        <v>35</v>
      </c>
      <c r="F97" s="4">
        <f>IF(TRIM('[1]Personale di appoggio'!$F98)=TRIM([1]qualifiche!$E$2),[1]qualifiche!$D$2,
IF(TRIM('[1]Personale di appoggio'!$F98)=TRIM([1]qualifiche!$E$3),[1]qualifiche!$D$3,
IF(TRIM('[1]Personale di appoggio'!$F98)=TRIM([1]qualifiche!$E$4),[1]qualifiche!$D$4,
IF(TRIM('[1]Personale di appoggio'!$F98)=TRIM([1]qualifiche!$E$5),[1]qualifiche!$D$5,
IF(TRIM('[1]Personale di appoggio'!$F98)=TRIM([1]qualifiche!$E$6),[1]qualifiche!$D$6,
IF(TRIM('[1]Personale di appoggio'!$F98)=TRIM([1]qualifiche!$E$7),[1]qualifiche!$D$7,
IF(TRIM('[1]Personale di appoggio'!$F98)=TRIM([1]qualifiche!$E$8),[1]qualifiche!$D$8,
IF(TRIM('[1]Personale di appoggio'!$F98)=TRIM([1]qualifiche!$E$9),[1]qualifiche!$D$9,
IF(TRIM('[1]Personale di appoggio'!$F98)=TRIM([1]qualifiche!$E$10),[1]qualifiche!$D$10,
IF(TRIM('[1]Personale di appoggio'!$F98)=TRIM([1]qualifiche!$E$11),[1]qualifiche!$D$11,""))))))))))</f>
        <v>4</v>
      </c>
      <c r="G97" s="5" t="s">
        <v>542</v>
      </c>
      <c r="H97" s="5" t="s">
        <v>543</v>
      </c>
      <c r="I97" s="6" t="s">
        <v>544</v>
      </c>
      <c r="J97" s="7">
        <f>IF('[1]Personale di appoggio'!J98="X",1,0)</f>
        <v>0</v>
      </c>
      <c r="K97" s="7">
        <f>IF('[1]Personale di appoggio'!K98="X",1,0)</f>
        <v>0</v>
      </c>
      <c r="L97" s="7">
        <f>IF('[1]Personale di appoggio'!L98="X",1,0)</f>
        <v>0</v>
      </c>
      <c r="M97" s="7">
        <f>IF('[1]Personale di appoggio'!M98="X",1,0)</f>
        <v>0</v>
      </c>
      <c r="N97" s="3"/>
      <c r="O97" s="3"/>
      <c r="P97" s="11" t="str">
        <f>IF('[1]Personale di appoggio'!$P98="","",'[1]Personale di appoggio'!$P98)</f>
        <v/>
      </c>
      <c r="Q97" s="4" t="s">
        <v>6</v>
      </c>
      <c r="R97" s="4">
        <f t="shared" si="1"/>
        <v>4</v>
      </c>
    </row>
    <row r="98" spans="1:18" ht="31.5" x14ac:dyDescent="0.45">
      <c r="A98" s="9">
        <v>98</v>
      </c>
      <c r="B98" s="2" t="s">
        <v>545</v>
      </c>
      <c r="C98" s="3" t="s">
        <v>546</v>
      </c>
      <c r="D98" s="3" t="s">
        <v>547</v>
      </c>
      <c r="E98" s="4">
        <f>IFERROR(INDEX([1]uot!$A$2:$A$40, MATCH("*"&amp;'[1]Personale di appoggio'!$D99&amp;"*", [1]uot!$B$2:$B$40, 0)), "Valore non trovato")</f>
        <v>35</v>
      </c>
      <c r="F98" s="4">
        <f>IF(TRIM('[1]Personale di appoggio'!$F99)=TRIM([1]qualifiche!$E$2),[1]qualifiche!$D$2,
IF(TRIM('[1]Personale di appoggio'!$F99)=TRIM([1]qualifiche!$E$3),[1]qualifiche!$D$3,
IF(TRIM('[1]Personale di appoggio'!$F99)=TRIM([1]qualifiche!$E$4),[1]qualifiche!$D$4,
IF(TRIM('[1]Personale di appoggio'!$F99)=TRIM([1]qualifiche!$E$5),[1]qualifiche!$D$5,
IF(TRIM('[1]Personale di appoggio'!$F99)=TRIM([1]qualifiche!$E$6),[1]qualifiche!$D$6,
IF(TRIM('[1]Personale di appoggio'!$F99)=TRIM([1]qualifiche!$E$7),[1]qualifiche!$D$7,
IF(TRIM('[1]Personale di appoggio'!$F99)=TRIM([1]qualifiche!$E$8),[1]qualifiche!$D$8,
IF(TRIM('[1]Personale di appoggio'!$F99)=TRIM([1]qualifiche!$E$9),[1]qualifiche!$D$9,
IF(TRIM('[1]Personale di appoggio'!$F99)=TRIM([1]qualifiche!$E$10),[1]qualifiche!$D$10,
IF(TRIM('[1]Personale di appoggio'!$F99)=TRIM([1]qualifiche!$E$11),[1]qualifiche!$D$11,""))))))))))</f>
        <v>7</v>
      </c>
      <c r="G98" s="5" t="s">
        <v>548</v>
      </c>
      <c r="H98" s="5" t="s">
        <v>549</v>
      </c>
      <c r="I98" s="6" t="s">
        <v>550</v>
      </c>
      <c r="J98" s="7">
        <f>IF('[1]Personale di appoggio'!J99="X",1,0)</f>
        <v>0</v>
      </c>
      <c r="K98" s="7">
        <f>IF('[1]Personale di appoggio'!K99="X",1,0)</f>
        <v>0</v>
      </c>
      <c r="L98" s="7">
        <f>IF('[1]Personale di appoggio'!L99="X",1,0)</f>
        <v>0</v>
      </c>
      <c r="M98" s="7">
        <f>IF('[1]Personale di appoggio'!M99="X",1,0)</f>
        <v>0</v>
      </c>
      <c r="N98" s="3"/>
      <c r="O98" s="3"/>
      <c r="P98" s="11" t="str">
        <f>IF('[1]Personale di appoggio'!$P99="","",'[1]Personale di appoggio'!$P99)</f>
        <v/>
      </c>
      <c r="Q98" s="4" t="s">
        <v>6</v>
      </c>
      <c r="R98" s="4">
        <f t="shared" si="1"/>
        <v>4</v>
      </c>
    </row>
    <row r="99" spans="1:18" ht="31.5" x14ac:dyDescent="0.45">
      <c r="A99" s="9">
        <v>99</v>
      </c>
      <c r="B99" s="2" t="s">
        <v>551</v>
      </c>
      <c r="C99" s="3" t="s">
        <v>552</v>
      </c>
      <c r="D99" s="3" t="s">
        <v>216</v>
      </c>
      <c r="E99" s="4">
        <f>IFERROR(INDEX([1]uot!$A$2:$A$40, MATCH("*"&amp;'[1]Personale di appoggio'!$D100&amp;"*", [1]uot!$B$2:$B$40, 0)), "Valore non trovato")</f>
        <v>35</v>
      </c>
      <c r="F99" s="4">
        <f>IF(TRIM('[1]Personale di appoggio'!$F100)=TRIM([1]qualifiche!$E$2),[1]qualifiche!$D$2,
IF(TRIM('[1]Personale di appoggio'!$F100)=TRIM([1]qualifiche!$E$3),[1]qualifiche!$D$3,
IF(TRIM('[1]Personale di appoggio'!$F100)=TRIM([1]qualifiche!$E$4),[1]qualifiche!$D$4,
IF(TRIM('[1]Personale di appoggio'!$F100)=TRIM([1]qualifiche!$E$5),[1]qualifiche!$D$5,
IF(TRIM('[1]Personale di appoggio'!$F100)=TRIM([1]qualifiche!$E$6),[1]qualifiche!$D$6,
IF(TRIM('[1]Personale di appoggio'!$F100)=TRIM([1]qualifiche!$E$7),[1]qualifiche!$D$7,
IF(TRIM('[1]Personale di appoggio'!$F100)=TRIM([1]qualifiche!$E$8),[1]qualifiche!$D$8,
IF(TRIM('[1]Personale di appoggio'!$F100)=TRIM([1]qualifiche!$E$9),[1]qualifiche!$D$9,
IF(TRIM('[1]Personale di appoggio'!$F100)=TRIM([1]qualifiche!$E$10),[1]qualifiche!$D$10,
IF(TRIM('[1]Personale di appoggio'!$F100)=TRIM([1]qualifiche!$E$11),[1]qualifiche!$D$11,""))))))))))</f>
        <v>7</v>
      </c>
      <c r="G99" s="5" t="s">
        <v>553</v>
      </c>
      <c r="H99" s="5" t="s">
        <v>554</v>
      </c>
      <c r="I99" s="6" t="s">
        <v>555</v>
      </c>
      <c r="J99" s="7">
        <f>IF('[1]Personale di appoggio'!J100="X",1,0)</f>
        <v>0</v>
      </c>
      <c r="K99" s="7">
        <f>IF('[1]Personale di appoggio'!K100="X",1,0)</f>
        <v>0</v>
      </c>
      <c r="L99" s="7">
        <f>IF('[1]Personale di appoggio'!L100="X",1,0)</f>
        <v>0</v>
      </c>
      <c r="M99" s="7">
        <f>IF('[1]Personale di appoggio'!M100="X",1,0)</f>
        <v>0</v>
      </c>
      <c r="N99" s="3"/>
      <c r="O99" s="3"/>
      <c r="P99" s="11" t="str">
        <f>IF('[1]Personale di appoggio'!$P100="","",'[1]Personale di appoggio'!$P100)</f>
        <v/>
      </c>
      <c r="Q99" s="4" t="s">
        <v>6</v>
      </c>
      <c r="R99" s="4">
        <f t="shared" si="1"/>
        <v>4</v>
      </c>
    </row>
    <row r="100" spans="1:18" ht="42.75" x14ac:dyDescent="0.45">
      <c r="A100" s="9">
        <v>100</v>
      </c>
      <c r="B100" s="2" t="s">
        <v>556</v>
      </c>
      <c r="C100" s="3" t="s">
        <v>557</v>
      </c>
      <c r="D100" s="3" t="s">
        <v>558</v>
      </c>
      <c r="E100" s="4">
        <f>IFERROR(INDEX([1]uot!$A$2:$A$40, MATCH("*"&amp;'[1]Personale di appoggio'!$D101&amp;"*", [1]uot!$B$2:$B$40, 0)), "Valore non trovato")</f>
        <v>35</v>
      </c>
      <c r="F100" s="4">
        <f>IF(TRIM('[1]Personale di appoggio'!$F101)=TRIM([1]qualifiche!$E$2),[1]qualifiche!$D$2,
IF(TRIM('[1]Personale di appoggio'!$F101)=TRIM([1]qualifiche!$E$3),[1]qualifiche!$D$3,
IF(TRIM('[1]Personale di appoggio'!$F101)=TRIM([1]qualifiche!$E$4),[1]qualifiche!$D$4,
IF(TRIM('[1]Personale di appoggio'!$F101)=TRIM([1]qualifiche!$E$5),[1]qualifiche!$D$5,
IF(TRIM('[1]Personale di appoggio'!$F101)=TRIM([1]qualifiche!$E$6),[1]qualifiche!$D$6,
IF(TRIM('[1]Personale di appoggio'!$F101)=TRIM([1]qualifiche!$E$7),[1]qualifiche!$D$7,
IF(TRIM('[1]Personale di appoggio'!$F101)=TRIM([1]qualifiche!$E$8),[1]qualifiche!$D$8,
IF(TRIM('[1]Personale di appoggio'!$F101)=TRIM([1]qualifiche!$E$9),[1]qualifiche!$D$9,
IF(TRIM('[1]Personale di appoggio'!$F101)=TRIM([1]qualifiche!$E$10),[1]qualifiche!$D$10,
IF(TRIM('[1]Personale di appoggio'!$F101)=TRIM([1]qualifiche!$E$11),[1]qualifiche!$D$11,""))))))))))</f>
        <v>8</v>
      </c>
      <c r="G100" s="5" t="s">
        <v>559</v>
      </c>
      <c r="H100" s="5" t="s">
        <v>560</v>
      </c>
      <c r="I100" s="6" t="s">
        <v>561</v>
      </c>
      <c r="J100" s="7">
        <f>IF('[1]Personale di appoggio'!J101="X",1,0)</f>
        <v>0</v>
      </c>
      <c r="K100" s="7">
        <f>IF('[1]Personale di appoggio'!K101="X",1,0)</f>
        <v>0</v>
      </c>
      <c r="L100" s="7">
        <f>IF('[1]Personale di appoggio'!L101="X",1,0)</f>
        <v>0</v>
      </c>
      <c r="M100" s="7">
        <f>IF('[1]Personale di appoggio'!M101="X",1,0)</f>
        <v>0</v>
      </c>
      <c r="N100" s="3"/>
      <c r="O100" s="3"/>
      <c r="P100" s="11" t="str">
        <f>IF('[1]Personale di appoggio'!$P101="","",'[1]Personale di appoggio'!$P101)</f>
        <v/>
      </c>
      <c r="Q100" s="4" t="s">
        <v>6</v>
      </c>
      <c r="R100" s="4">
        <f t="shared" si="1"/>
        <v>4</v>
      </c>
    </row>
    <row r="101" spans="1:18" ht="42.75" x14ac:dyDescent="0.45">
      <c r="A101" s="9">
        <v>101</v>
      </c>
      <c r="B101" s="2" t="s">
        <v>562</v>
      </c>
      <c r="C101" s="3" t="s">
        <v>563</v>
      </c>
      <c r="D101" s="3" t="s">
        <v>564</v>
      </c>
      <c r="E101" s="4">
        <f>IFERROR(INDEX([1]uot!$A$2:$A$40, MATCH("*"&amp;'[1]Personale di appoggio'!$D102&amp;"*", [1]uot!$B$2:$B$40, 0)), "Valore non trovato")</f>
        <v>35</v>
      </c>
      <c r="F101" s="4">
        <f>IF(TRIM('[1]Personale di appoggio'!$F102)=TRIM([1]qualifiche!$E$2),[1]qualifiche!$D$2,
IF(TRIM('[1]Personale di appoggio'!$F102)=TRIM([1]qualifiche!$E$3),[1]qualifiche!$D$3,
IF(TRIM('[1]Personale di appoggio'!$F102)=TRIM([1]qualifiche!$E$4),[1]qualifiche!$D$4,
IF(TRIM('[1]Personale di appoggio'!$F102)=TRIM([1]qualifiche!$E$5),[1]qualifiche!$D$5,
IF(TRIM('[1]Personale di appoggio'!$F102)=TRIM([1]qualifiche!$E$6),[1]qualifiche!$D$6,
IF(TRIM('[1]Personale di appoggio'!$F102)=TRIM([1]qualifiche!$E$7),[1]qualifiche!$D$7,
IF(TRIM('[1]Personale di appoggio'!$F102)=TRIM([1]qualifiche!$E$8),[1]qualifiche!$D$8,
IF(TRIM('[1]Personale di appoggio'!$F102)=TRIM([1]qualifiche!$E$9),[1]qualifiche!$D$9,
IF(TRIM('[1]Personale di appoggio'!$F102)=TRIM([1]qualifiche!$E$10),[1]qualifiche!$D$10,
IF(TRIM('[1]Personale di appoggio'!$F102)=TRIM([1]qualifiche!$E$11),[1]qualifiche!$D$11,""))))))))))</f>
        <v>8</v>
      </c>
      <c r="G101" s="5" t="s">
        <v>565</v>
      </c>
      <c r="H101" s="5" t="s">
        <v>566</v>
      </c>
      <c r="I101" s="6" t="s">
        <v>567</v>
      </c>
      <c r="J101" s="7">
        <f>IF('[1]Personale di appoggio'!J102="X",1,0)</f>
        <v>0</v>
      </c>
      <c r="K101" s="7">
        <f>IF('[1]Personale di appoggio'!K102="X",1,0)</f>
        <v>0</v>
      </c>
      <c r="L101" s="7">
        <f>IF('[1]Personale di appoggio'!L102="X",1,0)</f>
        <v>0</v>
      </c>
      <c r="M101" s="7">
        <f>IF('[1]Personale di appoggio'!M102="X",1,0)</f>
        <v>0</v>
      </c>
      <c r="N101" s="3"/>
      <c r="O101" s="3"/>
      <c r="P101" s="11" t="str">
        <f>IF('[1]Personale di appoggio'!$P102="","",'[1]Personale di appoggio'!$P102)</f>
        <v/>
      </c>
      <c r="Q101" s="4" t="s">
        <v>6</v>
      </c>
      <c r="R101" s="4">
        <f t="shared" si="1"/>
        <v>4</v>
      </c>
    </row>
    <row r="102" spans="1:18" ht="409.5" x14ac:dyDescent="0.45">
      <c r="A102" s="9">
        <v>102</v>
      </c>
      <c r="B102" s="2" t="s">
        <v>568</v>
      </c>
      <c r="C102" s="3" t="s">
        <v>569</v>
      </c>
      <c r="D102" s="3" t="s">
        <v>346</v>
      </c>
      <c r="E102" s="4">
        <f>IFERROR(INDEX([1]uot!$A$2:$A$40, MATCH("*"&amp;'[1]Personale di appoggio'!$D103&amp;"*", [1]uot!$B$2:$B$40, 0)), "Valore non trovato")</f>
        <v>3</v>
      </c>
      <c r="F102" s="4">
        <f>IF(TRIM('[1]Personale di appoggio'!$F103)=TRIM([1]qualifiche!$E$2),[1]qualifiche!$D$2,
IF(TRIM('[1]Personale di appoggio'!$F103)=TRIM([1]qualifiche!$E$3),[1]qualifiche!$D$3,
IF(TRIM('[1]Personale di appoggio'!$F103)=TRIM([1]qualifiche!$E$4),[1]qualifiche!$D$4,
IF(TRIM('[1]Personale di appoggio'!$F103)=TRIM([1]qualifiche!$E$5),[1]qualifiche!$D$5,
IF(TRIM('[1]Personale di appoggio'!$F103)=TRIM([1]qualifiche!$E$6),[1]qualifiche!$D$6,
IF(TRIM('[1]Personale di appoggio'!$F103)=TRIM([1]qualifiche!$E$7),[1]qualifiche!$D$7,
IF(TRIM('[1]Personale di appoggio'!$F103)=TRIM([1]qualifiche!$E$8),[1]qualifiche!$D$8,
IF(TRIM('[1]Personale di appoggio'!$F103)=TRIM([1]qualifiche!$E$9),[1]qualifiche!$D$9,
IF(TRIM('[1]Personale di appoggio'!$F103)=TRIM([1]qualifiche!$E$10),[1]qualifiche!$D$10,
IF(TRIM('[1]Personale di appoggio'!$F103)=TRIM([1]qualifiche!$E$11),[1]qualifiche!$D$11,""))))))))))</f>
        <v>1</v>
      </c>
      <c r="G102" s="5" t="s">
        <v>570</v>
      </c>
      <c r="H102" s="5" t="s">
        <v>571</v>
      </c>
      <c r="I102" s="6" t="s">
        <v>572</v>
      </c>
      <c r="J102" s="7">
        <f>IF('[1]Personale di appoggio'!J103="X",1,0)</f>
        <v>1</v>
      </c>
      <c r="K102" s="7">
        <f>IF('[1]Personale di appoggio'!K103="X",1,0)</f>
        <v>1</v>
      </c>
      <c r="L102" s="7">
        <f>IF('[1]Personale di appoggio'!L103="X",1,0)</f>
        <v>1</v>
      </c>
      <c r="M102" s="7">
        <f>IF('[1]Personale di appoggio'!M103="X",1,0)</f>
        <v>1</v>
      </c>
      <c r="N102" s="3"/>
      <c r="O102" s="3"/>
      <c r="P102" s="11" t="str">
        <f>IF('[1]Personale di appoggio'!$P103="","",'[1]Personale di appoggio'!$P103)</f>
        <v xml:space="preserve">PRESSIONE: Messa in servizio_ PVP_ riparazioni_ PED completa_ riqualificazione TPED
RISCALDAMENTO: esami progetto e omologazione_ approvazioone prototipi generatori modulari
SOLLEVAMENTO: PVP di Ascensori di cantiere e di tutte le tipologie di gru. Esame </v>
      </c>
      <c r="Q102" s="4" t="s">
        <v>6</v>
      </c>
      <c r="R102" s="4">
        <f t="shared" si="1"/>
        <v>1</v>
      </c>
    </row>
    <row r="103" spans="1:18" ht="283.5" x14ac:dyDescent="0.45">
      <c r="A103" s="9">
        <v>103</v>
      </c>
      <c r="B103" s="2" t="s">
        <v>573</v>
      </c>
      <c r="C103" s="3" t="s">
        <v>574</v>
      </c>
      <c r="D103" s="3" t="s">
        <v>575</v>
      </c>
      <c r="E103" s="4">
        <f>IFERROR(INDEX([1]uot!$A$2:$A$40, MATCH("*"&amp;'[1]Personale di appoggio'!$D104&amp;"*", [1]uot!$B$2:$B$40, 0)), "Valore non trovato")</f>
        <v>3</v>
      </c>
      <c r="F103" s="4">
        <f>IF(TRIM('[1]Personale di appoggio'!$F104)=TRIM([1]qualifiche!$E$2),[1]qualifiche!$D$2,
IF(TRIM('[1]Personale di appoggio'!$F104)=TRIM([1]qualifiche!$E$3),[1]qualifiche!$D$3,
IF(TRIM('[1]Personale di appoggio'!$F104)=TRIM([1]qualifiche!$E$4),[1]qualifiche!$D$4,
IF(TRIM('[1]Personale di appoggio'!$F104)=TRIM([1]qualifiche!$E$5),[1]qualifiche!$D$5,
IF(TRIM('[1]Personale di appoggio'!$F104)=TRIM([1]qualifiche!$E$6),[1]qualifiche!$D$6,
IF(TRIM('[1]Personale di appoggio'!$F104)=TRIM([1]qualifiche!$E$7),[1]qualifiche!$D$7,
IF(TRIM('[1]Personale di appoggio'!$F104)=TRIM([1]qualifiche!$E$8),[1]qualifiche!$D$8,
IF(TRIM('[1]Personale di appoggio'!$F104)=TRIM([1]qualifiche!$E$9),[1]qualifiche!$D$9,
IF(TRIM('[1]Personale di appoggio'!$F104)=TRIM([1]qualifiche!$E$10),[1]qualifiche!$D$10,
IF(TRIM('[1]Personale di appoggio'!$F104)=TRIM([1]qualifiche!$E$11),[1]qualifiche!$D$11,""))))))))))</f>
        <v>2</v>
      </c>
      <c r="G103" s="5" t="s">
        <v>576</v>
      </c>
      <c r="H103" s="5" t="s">
        <v>577</v>
      </c>
      <c r="I103" s="6" t="s">
        <v>578</v>
      </c>
      <c r="J103" s="7">
        <f>IF('[1]Personale di appoggio'!J104="X",1,0)</f>
        <v>0</v>
      </c>
      <c r="K103" s="7">
        <f>IF('[1]Personale di appoggio'!K104="X",1,0)</f>
        <v>1</v>
      </c>
      <c r="L103" s="7">
        <f>IF('[1]Personale di appoggio'!L104="X",1,0)</f>
        <v>1</v>
      </c>
      <c r="M103" s="7">
        <f>IF('[1]Personale di appoggio'!M104="X",1,0)</f>
        <v>0</v>
      </c>
      <c r="N103" s="3"/>
      <c r="O103" s="3"/>
      <c r="P103" s="11" t="str">
        <f>IF('[1]Personale di appoggio'!$P104="","",'[1]Personale di appoggio'!$P104)</f>
        <v xml:space="preserve">RISCALDAMENTO: esami progetto e omologazione
SOLLEVAMENTO: PVP di gru su autocarro_ autogru_ carroponti_ bandiera_ torre </v>
      </c>
      <c r="Q103" s="4" t="s">
        <v>6</v>
      </c>
      <c r="R103" s="4">
        <f t="shared" si="1"/>
        <v>2</v>
      </c>
    </row>
    <row r="104" spans="1:18" ht="236.25" x14ac:dyDescent="0.45">
      <c r="A104" s="9">
        <v>104</v>
      </c>
      <c r="B104" s="2" t="s">
        <v>579</v>
      </c>
      <c r="C104" s="3" t="s">
        <v>580</v>
      </c>
      <c r="D104" s="3" t="s">
        <v>216</v>
      </c>
      <c r="E104" s="4">
        <f>IFERROR(INDEX([1]uot!$A$2:$A$40, MATCH("*"&amp;'[1]Personale di appoggio'!$D105&amp;"*", [1]uot!$B$2:$B$40, 0)), "Valore non trovato")</f>
        <v>3</v>
      </c>
      <c r="F104" s="4">
        <f>IF(TRIM('[1]Personale di appoggio'!$F105)=TRIM([1]qualifiche!$E$2),[1]qualifiche!$D$2,
IF(TRIM('[1]Personale di appoggio'!$F105)=TRIM([1]qualifiche!$E$3),[1]qualifiche!$D$3,
IF(TRIM('[1]Personale di appoggio'!$F105)=TRIM([1]qualifiche!$E$4),[1]qualifiche!$D$4,
IF(TRIM('[1]Personale di appoggio'!$F105)=TRIM([1]qualifiche!$E$5),[1]qualifiche!$D$5,
IF(TRIM('[1]Personale di appoggio'!$F105)=TRIM([1]qualifiche!$E$6),[1]qualifiche!$D$6,
IF(TRIM('[1]Personale di appoggio'!$F105)=TRIM([1]qualifiche!$E$7),[1]qualifiche!$D$7,
IF(TRIM('[1]Personale di appoggio'!$F105)=TRIM([1]qualifiche!$E$8),[1]qualifiche!$D$8,
IF(TRIM('[1]Personale di appoggio'!$F105)=TRIM([1]qualifiche!$E$9),[1]qualifiche!$D$9,
IF(TRIM('[1]Personale di appoggio'!$F105)=TRIM([1]qualifiche!$E$10),[1]qualifiche!$D$10,
IF(TRIM('[1]Personale di appoggio'!$F105)=TRIM([1]qualifiche!$E$11),[1]qualifiche!$D$11,""))))))))))</f>
        <v>2</v>
      </c>
      <c r="G104" s="5" t="s">
        <v>581</v>
      </c>
      <c r="H104" s="5" t="s">
        <v>582</v>
      </c>
      <c r="I104" s="8" t="s">
        <v>583</v>
      </c>
      <c r="J104" s="7">
        <f>IF('[1]Personale di appoggio'!J105="X",1,0)</f>
        <v>1</v>
      </c>
      <c r="K104" s="7">
        <f>IF('[1]Personale di appoggio'!K105="X",1,0)</f>
        <v>1</v>
      </c>
      <c r="L104" s="7">
        <f>IF('[1]Personale di appoggio'!L105="X",1,0)</f>
        <v>0</v>
      </c>
      <c r="M104" s="7">
        <f>IF('[1]Personale di appoggio'!M105="X",1,0)</f>
        <v>0</v>
      </c>
      <c r="N104" s="3"/>
      <c r="O104" s="3"/>
      <c r="P104" s="11" t="str">
        <f>IF('[1]Personale di appoggio'!$P105="","",'[1]Personale di appoggio'!$P105)</f>
        <v>PRESSIONE: Messa in servizio_ PVP_ riparazioni_ decennali GPL
SOLLEVAMENTO: PVP di Ascensori di cantiere</v>
      </c>
      <c r="Q104" s="4" t="s">
        <v>6</v>
      </c>
      <c r="R104" s="4">
        <f t="shared" si="1"/>
        <v>2</v>
      </c>
    </row>
    <row r="105" spans="1:18" ht="31.5" x14ac:dyDescent="0.45">
      <c r="A105" s="9">
        <v>105</v>
      </c>
      <c r="B105" s="2" t="s">
        <v>584</v>
      </c>
      <c r="C105" s="3" t="s">
        <v>267</v>
      </c>
      <c r="D105" s="3" t="s">
        <v>187</v>
      </c>
      <c r="E105" s="4">
        <f>IFERROR(INDEX([1]uot!$A$2:$A$40, MATCH("*"&amp;'[1]Personale di appoggio'!$D106&amp;"*", [1]uot!$B$2:$B$40, 0)), "Valore non trovato")</f>
        <v>3</v>
      </c>
      <c r="F105" s="4">
        <f>IF(TRIM('[1]Personale di appoggio'!$F106)=TRIM([1]qualifiche!$E$2),[1]qualifiche!$D$2,
IF(TRIM('[1]Personale di appoggio'!$F106)=TRIM([1]qualifiche!$E$3),[1]qualifiche!$D$3,
IF(TRIM('[1]Personale di appoggio'!$F106)=TRIM([1]qualifiche!$E$4),[1]qualifiche!$D$4,
IF(TRIM('[1]Personale di appoggio'!$F106)=TRIM([1]qualifiche!$E$5),[1]qualifiche!$D$5,
IF(TRIM('[1]Personale di appoggio'!$F106)=TRIM([1]qualifiche!$E$6),[1]qualifiche!$D$6,
IF(TRIM('[1]Personale di appoggio'!$F106)=TRIM([1]qualifiche!$E$7),[1]qualifiche!$D$7,
IF(TRIM('[1]Personale di appoggio'!$F106)=TRIM([1]qualifiche!$E$8),[1]qualifiche!$D$8,
IF(TRIM('[1]Personale di appoggio'!$F106)=TRIM([1]qualifiche!$E$9),[1]qualifiche!$D$9,
IF(TRIM('[1]Personale di appoggio'!$F106)=TRIM([1]qualifiche!$E$10),[1]qualifiche!$D$10,
IF(TRIM('[1]Personale di appoggio'!$F106)=TRIM([1]qualifiche!$E$11),[1]qualifiche!$D$11,""))))))))))</f>
        <v>3</v>
      </c>
      <c r="G105" s="5" t="s">
        <v>585</v>
      </c>
      <c r="H105" s="5" t="s">
        <v>586</v>
      </c>
      <c r="I105" s="8" t="s">
        <v>587</v>
      </c>
      <c r="J105" s="7">
        <f>IF('[1]Personale di appoggio'!J106="X",1,0)</f>
        <v>0</v>
      </c>
      <c r="K105" s="7">
        <f>IF('[1]Personale di appoggio'!K106="X",1,0)</f>
        <v>0</v>
      </c>
      <c r="L105" s="7">
        <f>IF('[1]Personale di appoggio'!L106="X",1,0)</f>
        <v>0</v>
      </c>
      <c r="M105" s="7">
        <f>IF('[1]Personale di appoggio'!M106="X",1,0)</f>
        <v>0</v>
      </c>
      <c r="N105" s="3"/>
      <c r="O105" s="3"/>
      <c r="P105" s="11" t="str">
        <f>IF('[1]Personale di appoggio'!$P106="","",'[1]Personale di appoggio'!$P106)</f>
        <v/>
      </c>
      <c r="Q105" s="4" t="s">
        <v>6</v>
      </c>
      <c r="R105" s="4">
        <f t="shared" si="1"/>
        <v>4</v>
      </c>
    </row>
    <row r="106" spans="1:18" ht="31.5" x14ac:dyDescent="0.45">
      <c r="A106" s="9">
        <v>106</v>
      </c>
      <c r="B106" s="2" t="s">
        <v>588</v>
      </c>
      <c r="C106" s="3" t="s">
        <v>589</v>
      </c>
      <c r="D106" s="3" t="s">
        <v>187</v>
      </c>
      <c r="E106" s="4">
        <f>IFERROR(INDEX([1]uot!$A$2:$A$40, MATCH("*"&amp;'[1]Personale di appoggio'!$D107&amp;"*", [1]uot!$B$2:$B$40, 0)), "Valore non trovato")</f>
        <v>3</v>
      </c>
      <c r="F106" s="4">
        <f>IF(TRIM('[1]Personale di appoggio'!$F107)=TRIM([1]qualifiche!$E$2),[1]qualifiche!$D$2,
IF(TRIM('[1]Personale di appoggio'!$F107)=TRIM([1]qualifiche!$E$3),[1]qualifiche!$D$3,
IF(TRIM('[1]Personale di appoggio'!$F107)=TRIM([1]qualifiche!$E$4),[1]qualifiche!$D$4,
IF(TRIM('[1]Personale di appoggio'!$F107)=TRIM([1]qualifiche!$E$5),[1]qualifiche!$D$5,
IF(TRIM('[1]Personale di appoggio'!$F107)=TRIM([1]qualifiche!$E$6),[1]qualifiche!$D$6,
IF(TRIM('[1]Personale di appoggio'!$F107)=TRIM([1]qualifiche!$E$7),[1]qualifiche!$D$7,
IF(TRIM('[1]Personale di appoggio'!$F107)=TRIM([1]qualifiche!$E$8),[1]qualifiche!$D$8,
IF(TRIM('[1]Personale di appoggio'!$F107)=TRIM([1]qualifiche!$E$9),[1]qualifiche!$D$9,
IF(TRIM('[1]Personale di appoggio'!$F107)=TRIM([1]qualifiche!$E$10),[1]qualifiche!$D$10,
IF(TRIM('[1]Personale di appoggio'!$F107)=TRIM([1]qualifiche!$E$11),[1]qualifiche!$D$11,""))))))))))</f>
        <v>4</v>
      </c>
      <c r="G106" s="5" t="s">
        <v>590</v>
      </c>
      <c r="H106" s="5" t="s">
        <v>591</v>
      </c>
      <c r="I106" s="6" t="s">
        <v>592</v>
      </c>
      <c r="J106" s="7">
        <f>IF('[1]Personale di appoggio'!J107="X",1,0)</f>
        <v>0</v>
      </c>
      <c r="K106" s="7">
        <f>IF('[1]Personale di appoggio'!K107="X",1,0)</f>
        <v>0</v>
      </c>
      <c r="L106" s="7">
        <f>IF('[1]Personale di appoggio'!L107="X",1,0)</f>
        <v>0</v>
      </c>
      <c r="M106" s="7">
        <f>IF('[1]Personale di appoggio'!M107="X",1,0)</f>
        <v>0</v>
      </c>
      <c r="N106" s="3"/>
      <c r="O106" s="3"/>
      <c r="P106" s="11" t="str">
        <f>IF('[1]Personale di appoggio'!$P107="","",'[1]Personale di appoggio'!$P107)</f>
        <v/>
      </c>
      <c r="Q106" s="4" t="s">
        <v>6</v>
      </c>
      <c r="R106" s="4">
        <f t="shared" si="1"/>
        <v>4</v>
      </c>
    </row>
    <row r="107" spans="1:18" ht="315" x14ac:dyDescent="0.45">
      <c r="A107" s="9">
        <v>107</v>
      </c>
      <c r="B107" s="2" t="s">
        <v>593</v>
      </c>
      <c r="C107" s="3" t="s">
        <v>594</v>
      </c>
      <c r="D107" s="3" t="s">
        <v>595</v>
      </c>
      <c r="E107" s="4">
        <f>IFERROR(INDEX([1]uot!$A$2:$A$40, MATCH("*"&amp;'[1]Personale di appoggio'!$D108&amp;"*", [1]uot!$B$2:$B$40, 0)), "Valore non trovato")</f>
        <v>3</v>
      </c>
      <c r="F107" s="4">
        <f>IF(TRIM('[1]Personale di appoggio'!$F108)=TRIM([1]qualifiche!$E$2),[1]qualifiche!$D$2,
IF(TRIM('[1]Personale di appoggio'!$F108)=TRIM([1]qualifiche!$E$3),[1]qualifiche!$D$3,
IF(TRIM('[1]Personale di appoggio'!$F108)=TRIM([1]qualifiche!$E$4),[1]qualifiche!$D$4,
IF(TRIM('[1]Personale di appoggio'!$F108)=TRIM([1]qualifiche!$E$5),[1]qualifiche!$D$5,
IF(TRIM('[1]Personale di appoggio'!$F108)=TRIM([1]qualifiche!$E$6),[1]qualifiche!$D$6,
IF(TRIM('[1]Personale di appoggio'!$F108)=TRIM([1]qualifiche!$E$7),[1]qualifiche!$D$7,
IF(TRIM('[1]Personale di appoggio'!$F108)=TRIM([1]qualifiche!$E$8),[1]qualifiche!$D$8,
IF(TRIM('[1]Personale di appoggio'!$F108)=TRIM([1]qualifiche!$E$9),[1]qualifiche!$D$9,
IF(TRIM('[1]Personale di appoggio'!$F108)=TRIM([1]qualifiche!$E$10),[1]qualifiche!$D$10,
IF(TRIM('[1]Personale di appoggio'!$F108)=TRIM([1]qualifiche!$E$11),[1]qualifiche!$D$11,""))))))))))</f>
        <v>4</v>
      </c>
      <c r="G107" s="5" t="s">
        <v>596</v>
      </c>
      <c r="H107" s="5" t="s">
        <v>597</v>
      </c>
      <c r="I107" s="6" t="s">
        <v>598</v>
      </c>
      <c r="J107" s="7">
        <f>IF('[1]Personale di appoggio'!J108="X",1,0)</f>
        <v>1</v>
      </c>
      <c r="K107" s="7">
        <f>IF('[1]Personale di appoggio'!K108="X",1,0)</f>
        <v>1</v>
      </c>
      <c r="L107" s="7">
        <f>IF('[1]Personale di appoggio'!L108="X",1,0)</f>
        <v>0</v>
      </c>
      <c r="M107" s="7">
        <f>IF('[1]Personale di appoggio'!M108="X",1,0)</f>
        <v>1</v>
      </c>
      <c r="N107" s="3"/>
      <c r="O107" s="3"/>
      <c r="P107" s="11" t="str">
        <f>IF('[1]Personale di appoggio'!$P108="","",'[1]Personale di appoggio'!$P108)</f>
        <v>PRESSIONE: Taratura VDS
SOLLEVAMENTO: PVP di tutte le tipologie di gru
TERRE: Verifiche a campione di impianti M/T fino a 1000 V. Impianti sca/atm</v>
      </c>
      <c r="Q107" s="4" t="s">
        <v>6</v>
      </c>
      <c r="R107" s="4">
        <f t="shared" si="1"/>
        <v>2</v>
      </c>
    </row>
    <row r="108" spans="1:18" ht="141.75" x14ac:dyDescent="0.45">
      <c r="A108" s="9">
        <v>108</v>
      </c>
      <c r="B108" s="2" t="s">
        <v>599</v>
      </c>
      <c r="C108" s="3" t="s">
        <v>600</v>
      </c>
      <c r="D108" s="3" t="s">
        <v>27</v>
      </c>
      <c r="E108" s="4">
        <f>IFERROR(INDEX([1]uot!$A$2:$A$40, MATCH("*"&amp;'[1]Personale di appoggio'!$D109&amp;"*", [1]uot!$B$2:$B$40, 0)), "Valore non trovato")</f>
        <v>3</v>
      </c>
      <c r="F108" s="4">
        <f>IF(TRIM('[1]Personale di appoggio'!$F109)=TRIM([1]qualifiche!$E$2),[1]qualifiche!$D$2,
IF(TRIM('[1]Personale di appoggio'!$F109)=TRIM([1]qualifiche!$E$3),[1]qualifiche!$D$3,
IF(TRIM('[1]Personale di appoggio'!$F109)=TRIM([1]qualifiche!$E$4),[1]qualifiche!$D$4,
IF(TRIM('[1]Personale di appoggio'!$F109)=TRIM([1]qualifiche!$E$5),[1]qualifiche!$D$5,
IF(TRIM('[1]Personale di appoggio'!$F109)=TRIM([1]qualifiche!$E$6),[1]qualifiche!$D$6,
IF(TRIM('[1]Personale di appoggio'!$F109)=TRIM([1]qualifiche!$E$7),[1]qualifiche!$D$7,
IF(TRIM('[1]Personale di appoggio'!$F109)=TRIM([1]qualifiche!$E$8),[1]qualifiche!$D$8,
IF(TRIM('[1]Personale di appoggio'!$F109)=TRIM([1]qualifiche!$E$9),[1]qualifiche!$D$9,
IF(TRIM('[1]Personale di appoggio'!$F109)=TRIM([1]qualifiche!$E$10),[1]qualifiche!$D$10,
IF(TRIM('[1]Personale di appoggio'!$F109)=TRIM([1]qualifiche!$E$11),[1]qualifiche!$D$11,""))))))))))</f>
        <v>4</v>
      </c>
      <c r="G108" s="5" t="s">
        <v>601</v>
      </c>
      <c r="H108" s="5" t="s">
        <v>602</v>
      </c>
      <c r="I108" s="8" t="s">
        <v>603</v>
      </c>
      <c r="J108" s="7">
        <f>IF('[1]Personale di appoggio'!J109="X",1,0)</f>
        <v>1</v>
      </c>
      <c r="K108" s="7">
        <f>IF('[1]Personale di appoggio'!K109="X",1,0)</f>
        <v>0</v>
      </c>
      <c r="L108" s="7">
        <f>IF('[1]Personale di appoggio'!L109="X",1,0)</f>
        <v>0</v>
      </c>
      <c r="M108" s="7">
        <f>IF('[1]Personale di appoggio'!M109="X",1,0)</f>
        <v>0</v>
      </c>
      <c r="N108" s="3"/>
      <c r="O108" s="3"/>
      <c r="P108" s="11" t="str">
        <f>IF('[1]Personale di appoggio'!$P109="","",'[1]Personale di appoggio'!$P109)</f>
        <v>PRESSIONE: Taratura VDS_ riqualificazione TPED_ decennali GPL</v>
      </c>
      <c r="Q108" s="4" t="s">
        <v>6</v>
      </c>
      <c r="R108" s="4">
        <f t="shared" si="1"/>
        <v>2</v>
      </c>
    </row>
    <row r="109" spans="1:18" ht="31.5" x14ac:dyDescent="0.45">
      <c r="A109" s="9">
        <v>109</v>
      </c>
      <c r="B109" s="2" t="s">
        <v>604</v>
      </c>
      <c r="C109" s="3" t="s">
        <v>605</v>
      </c>
      <c r="D109" s="3" t="s">
        <v>181</v>
      </c>
      <c r="E109" s="4">
        <f>IFERROR(INDEX([1]uot!$A$2:$A$40, MATCH("*"&amp;'[1]Personale di appoggio'!$D110&amp;"*", [1]uot!$B$2:$B$40, 0)), "Valore non trovato")</f>
        <v>3</v>
      </c>
      <c r="F109" s="4">
        <f>IF(TRIM('[1]Personale di appoggio'!$F110)=TRIM([1]qualifiche!$E$2),[1]qualifiche!$D$2,
IF(TRIM('[1]Personale di appoggio'!$F110)=TRIM([1]qualifiche!$E$3),[1]qualifiche!$D$3,
IF(TRIM('[1]Personale di appoggio'!$F110)=TRIM([1]qualifiche!$E$4),[1]qualifiche!$D$4,
IF(TRIM('[1]Personale di appoggio'!$F110)=TRIM([1]qualifiche!$E$5),[1]qualifiche!$D$5,
IF(TRIM('[1]Personale di appoggio'!$F110)=TRIM([1]qualifiche!$E$6),[1]qualifiche!$D$6,
IF(TRIM('[1]Personale di appoggio'!$F110)=TRIM([1]qualifiche!$E$7),[1]qualifiche!$D$7,
IF(TRIM('[1]Personale di appoggio'!$F110)=TRIM([1]qualifiche!$E$8),[1]qualifiche!$D$8,
IF(TRIM('[1]Personale di appoggio'!$F110)=TRIM([1]qualifiche!$E$9),[1]qualifiche!$D$9,
IF(TRIM('[1]Personale di appoggio'!$F110)=TRIM([1]qualifiche!$E$10),[1]qualifiche!$D$10,
IF(TRIM('[1]Personale di appoggio'!$F110)=TRIM([1]qualifiche!$E$11),[1]qualifiche!$D$11,""))))))))))</f>
        <v>7</v>
      </c>
      <c r="G109" s="5" t="s">
        <v>606</v>
      </c>
      <c r="H109" s="5" t="s">
        <v>607</v>
      </c>
      <c r="I109" s="8" t="s">
        <v>608</v>
      </c>
      <c r="J109" s="7">
        <f>IF('[1]Personale di appoggio'!J110="X",1,0)</f>
        <v>0</v>
      </c>
      <c r="K109" s="7">
        <f>IF('[1]Personale di appoggio'!K110="X",1,0)</f>
        <v>0</v>
      </c>
      <c r="L109" s="7">
        <f>IF('[1]Personale di appoggio'!L110="X",1,0)</f>
        <v>0</v>
      </c>
      <c r="M109" s="7">
        <f>IF('[1]Personale di appoggio'!M110="X",1,0)</f>
        <v>0</v>
      </c>
      <c r="N109" s="3"/>
      <c r="O109" s="3"/>
      <c r="P109" s="11" t="str">
        <f>IF('[1]Personale di appoggio'!$P110="","",'[1]Personale di appoggio'!$P110)</f>
        <v/>
      </c>
      <c r="Q109" s="4" t="s">
        <v>6</v>
      </c>
      <c r="R109" s="4">
        <f t="shared" si="1"/>
        <v>4</v>
      </c>
    </row>
    <row r="110" spans="1:18" ht="31.5" x14ac:dyDescent="0.45">
      <c r="A110" s="9">
        <v>110</v>
      </c>
      <c r="B110" s="2" t="s">
        <v>609</v>
      </c>
      <c r="C110" s="3" t="s">
        <v>610</v>
      </c>
      <c r="D110" s="3" t="s">
        <v>611</v>
      </c>
      <c r="E110" s="4">
        <f>IFERROR(INDEX([1]uot!$A$2:$A$40, MATCH("*"&amp;'[1]Personale di appoggio'!$D111&amp;"*", [1]uot!$B$2:$B$40, 0)), "Valore non trovato")</f>
        <v>3</v>
      </c>
      <c r="F110" s="4">
        <f>IF(TRIM('[1]Personale di appoggio'!$F111)=TRIM([1]qualifiche!$E$2),[1]qualifiche!$D$2,
IF(TRIM('[1]Personale di appoggio'!$F111)=TRIM([1]qualifiche!$E$3),[1]qualifiche!$D$3,
IF(TRIM('[1]Personale di appoggio'!$F111)=TRIM([1]qualifiche!$E$4),[1]qualifiche!$D$4,
IF(TRIM('[1]Personale di appoggio'!$F111)=TRIM([1]qualifiche!$E$5),[1]qualifiche!$D$5,
IF(TRIM('[1]Personale di appoggio'!$F111)=TRIM([1]qualifiche!$E$6),[1]qualifiche!$D$6,
IF(TRIM('[1]Personale di appoggio'!$F111)=TRIM([1]qualifiche!$E$7),[1]qualifiche!$D$7,
IF(TRIM('[1]Personale di appoggio'!$F111)=TRIM([1]qualifiche!$E$8),[1]qualifiche!$D$8,
IF(TRIM('[1]Personale di appoggio'!$F111)=TRIM([1]qualifiche!$E$9),[1]qualifiche!$D$9,
IF(TRIM('[1]Personale di appoggio'!$F111)=TRIM([1]qualifiche!$E$10),[1]qualifiche!$D$10,
IF(TRIM('[1]Personale di appoggio'!$F111)=TRIM([1]qualifiche!$E$11),[1]qualifiche!$D$11,""))))))))))</f>
        <v>7</v>
      </c>
      <c r="G110" s="5" t="s">
        <v>612</v>
      </c>
      <c r="H110" s="5" t="s">
        <v>613</v>
      </c>
      <c r="I110" s="8" t="s">
        <v>614</v>
      </c>
      <c r="J110" s="7">
        <f>IF('[1]Personale di appoggio'!J111="X",1,0)</f>
        <v>0</v>
      </c>
      <c r="K110" s="7">
        <f>IF('[1]Personale di appoggio'!K111="X",1,0)</f>
        <v>0</v>
      </c>
      <c r="L110" s="7">
        <f>IF('[1]Personale di appoggio'!L111="X",1,0)</f>
        <v>0</v>
      </c>
      <c r="M110" s="7">
        <f>IF('[1]Personale di appoggio'!M111="X",1,0)</f>
        <v>0</v>
      </c>
      <c r="N110" s="3"/>
      <c r="O110" s="3"/>
      <c r="P110" s="11" t="str">
        <f>IF('[1]Personale di appoggio'!$P111="","",'[1]Personale di appoggio'!$P111)</f>
        <v/>
      </c>
      <c r="Q110" s="4" t="s">
        <v>6</v>
      </c>
      <c r="R110" s="4">
        <f t="shared" si="1"/>
        <v>4</v>
      </c>
    </row>
    <row r="111" spans="1:18" ht="31.5" x14ac:dyDescent="0.45">
      <c r="A111" s="9">
        <v>111</v>
      </c>
      <c r="B111" s="2" t="s">
        <v>615</v>
      </c>
      <c r="C111" s="3" t="s">
        <v>616</v>
      </c>
      <c r="D111" s="3" t="s">
        <v>69</v>
      </c>
      <c r="E111" s="4">
        <f>IFERROR(INDEX([1]uot!$A$2:$A$40, MATCH("*"&amp;'[1]Personale di appoggio'!$D112&amp;"*", [1]uot!$B$2:$B$40, 0)), "Valore non trovato")</f>
        <v>3</v>
      </c>
      <c r="F111" s="4">
        <f>IF(TRIM('[1]Personale di appoggio'!$F112)=TRIM([1]qualifiche!$E$2),[1]qualifiche!$D$2,
IF(TRIM('[1]Personale di appoggio'!$F112)=TRIM([1]qualifiche!$E$3),[1]qualifiche!$D$3,
IF(TRIM('[1]Personale di appoggio'!$F112)=TRIM([1]qualifiche!$E$4),[1]qualifiche!$D$4,
IF(TRIM('[1]Personale di appoggio'!$F112)=TRIM([1]qualifiche!$E$5),[1]qualifiche!$D$5,
IF(TRIM('[1]Personale di appoggio'!$F112)=TRIM([1]qualifiche!$E$6),[1]qualifiche!$D$6,
IF(TRIM('[1]Personale di appoggio'!$F112)=TRIM([1]qualifiche!$E$7),[1]qualifiche!$D$7,
IF(TRIM('[1]Personale di appoggio'!$F112)=TRIM([1]qualifiche!$E$8),[1]qualifiche!$D$8,
IF(TRIM('[1]Personale di appoggio'!$F112)=TRIM([1]qualifiche!$E$9),[1]qualifiche!$D$9,
IF(TRIM('[1]Personale di appoggio'!$F112)=TRIM([1]qualifiche!$E$10),[1]qualifiche!$D$10,
IF(TRIM('[1]Personale di appoggio'!$F112)=TRIM([1]qualifiche!$E$11),[1]qualifiche!$D$11,""))))))))))</f>
        <v>7</v>
      </c>
      <c r="G111" s="5" t="s">
        <v>617</v>
      </c>
      <c r="H111" s="5" t="s">
        <v>618</v>
      </c>
      <c r="I111" s="8" t="s">
        <v>619</v>
      </c>
      <c r="J111" s="7">
        <f>IF('[1]Personale di appoggio'!J112="X",1,0)</f>
        <v>0</v>
      </c>
      <c r="K111" s="7">
        <f>IF('[1]Personale di appoggio'!K112="X",1,0)</f>
        <v>0</v>
      </c>
      <c r="L111" s="7">
        <f>IF('[1]Personale di appoggio'!L112="X",1,0)</f>
        <v>0</v>
      </c>
      <c r="M111" s="7">
        <f>IF('[1]Personale di appoggio'!M112="X",1,0)</f>
        <v>0</v>
      </c>
      <c r="N111" s="3"/>
      <c r="O111" s="3"/>
      <c r="P111" s="11" t="str">
        <f>IF('[1]Personale di appoggio'!$P112="","",'[1]Personale di appoggio'!$P112)</f>
        <v/>
      </c>
      <c r="Q111" s="4" t="s">
        <v>6</v>
      </c>
      <c r="R111" s="4">
        <f t="shared" si="1"/>
        <v>4</v>
      </c>
    </row>
    <row r="112" spans="1:18" ht="31.5" x14ac:dyDescent="0.45">
      <c r="A112" s="9">
        <v>112</v>
      </c>
      <c r="B112" s="2" t="s">
        <v>620</v>
      </c>
      <c r="C112" s="3" t="s">
        <v>621</v>
      </c>
      <c r="D112" s="3" t="s">
        <v>352</v>
      </c>
      <c r="E112" s="4">
        <f>IFERROR(INDEX([1]uot!$A$2:$A$40, MATCH("*"&amp;'[1]Personale di appoggio'!$D113&amp;"*", [1]uot!$B$2:$B$40, 0)), "Valore non trovato")</f>
        <v>3</v>
      </c>
      <c r="F112" s="4">
        <f>IF(TRIM('[1]Personale di appoggio'!$F113)=TRIM([1]qualifiche!$E$2),[1]qualifiche!$D$2,
IF(TRIM('[1]Personale di appoggio'!$F113)=TRIM([1]qualifiche!$E$3),[1]qualifiche!$D$3,
IF(TRIM('[1]Personale di appoggio'!$F113)=TRIM([1]qualifiche!$E$4),[1]qualifiche!$D$4,
IF(TRIM('[1]Personale di appoggio'!$F113)=TRIM([1]qualifiche!$E$5),[1]qualifiche!$D$5,
IF(TRIM('[1]Personale di appoggio'!$F113)=TRIM([1]qualifiche!$E$6),[1]qualifiche!$D$6,
IF(TRIM('[1]Personale di appoggio'!$F113)=TRIM([1]qualifiche!$E$7),[1]qualifiche!$D$7,
IF(TRIM('[1]Personale di appoggio'!$F113)=TRIM([1]qualifiche!$E$8),[1]qualifiche!$D$8,
IF(TRIM('[1]Personale di appoggio'!$F113)=TRIM([1]qualifiche!$E$9),[1]qualifiche!$D$9,
IF(TRIM('[1]Personale di appoggio'!$F113)=TRIM([1]qualifiche!$E$10),[1]qualifiche!$D$10,
IF(TRIM('[1]Personale di appoggio'!$F113)=TRIM([1]qualifiche!$E$11),[1]qualifiche!$D$11,""))))))))))</f>
        <v>7</v>
      </c>
      <c r="G112" s="5" t="s">
        <v>622</v>
      </c>
      <c r="H112" s="5" t="s">
        <v>623</v>
      </c>
      <c r="I112" s="8" t="s">
        <v>624</v>
      </c>
      <c r="J112" s="7">
        <f>IF('[1]Personale di appoggio'!J113="X",1,0)</f>
        <v>0</v>
      </c>
      <c r="K112" s="7">
        <f>IF('[1]Personale di appoggio'!K113="X",1,0)</f>
        <v>0</v>
      </c>
      <c r="L112" s="7">
        <f>IF('[1]Personale di appoggio'!L113="X",1,0)</f>
        <v>0</v>
      </c>
      <c r="M112" s="7">
        <f>IF('[1]Personale di appoggio'!M113="X",1,0)</f>
        <v>0</v>
      </c>
      <c r="N112" s="3"/>
      <c r="O112" s="3"/>
      <c r="P112" s="11" t="str">
        <f>IF('[1]Personale di appoggio'!$P113="","",'[1]Personale di appoggio'!$P113)</f>
        <v/>
      </c>
      <c r="Q112" s="4" t="s">
        <v>6</v>
      </c>
      <c r="R112" s="4">
        <f t="shared" si="1"/>
        <v>4</v>
      </c>
    </row>
    <row r="113" spans="1:18" ht="31.5" x14ac:dyDescent="0.45">
      <c r="A113" s="9">
        <v>113</v>
      </c>
      <c r="B113" s="2" t="s">
        <v>625</v>
      </c>
      <c r="C113" s="3" t="s">
        <v>626</v>
      </c>
      <c r="D113" s="3" t="s">
        <v>181</v>
      </c>
      <c r="E113" s="4">
        <f>IFERROR(INDEX([1]uot!$A$2:$A$40, MATCH("*"&amp;'[1]Personale di appoggio'!$D114&amp;"*", [1]uot!$B$2:$B$40, 0)), "Valore non trovato")</f>
        <v>3</v>
      </c>
      <c r="F113" s="4">
        <f>IF(TRIM('[1]Personale di appoggio'!$F114)=TRIM([1]qualifiche!$E$2),[1]qualifiche!$D$2,
IF(TRIM('[1]Personale di appoggio'!$F114)=TRIM([1]qualifiche!$E$3),[1]qualifiche!$D$3,
IF(TRIM('[1]Personale di appoggio'!$F114)=TRIM([1]qualifiche!$E$4),[1]qualifiche!$D$4,
IF(TRIM('[1]Personale di appoggio'!$F114)=TRIM([1]qualifiche!$E$5),[1]qualifiche!$D$5,
IF(TRIM('[1]Personale di appoggio'!$F114)=TRIM([1]qualifiche!$E$6),[1]qualifiche!$D$6,
IF(TRIM('[1]Personale di appoggio'!$F114)=TRIM([1]qualifiche!$E$7),[1]qualifiche!$D$7,
IF(TRIM('[1]Personale di appoggio'!$F114)=TRIM([1]qualifiche!$E$8),[1]qualifiche!$D$8,
IF(TRIM('[1]Personale di appoggio'!$F114)=TRIM([1]qualifiche!$E$9),[1]qualifiche!$D$9,
IF(TRIM('[1]Personale di appoggio'!$F114)=TRIM([1]qualifiche!$E$10),[1]qualifiche!$D$10,
IF(TRIM('[1]Personale di appoggio'!$F114)=TRIM([1]qualifiche!$E$11),[1]qualifiche!$D$11,""))))))))))</f>
        <v>8</v>
      </c>
      <c r="G113" s="5" t="s">
        <v>627</v>
      </c>
      <c r="H113" s="5" t="s">
        <v>628</v>
      </c>
      <c r="I113" s="6" t="s">
        <v>629</v>
      </c>
      <c r="J113" s="7">
        <f>IF('[1]Personale di appoggio'!J114="X",1,0)</f>
        <v>0</v>
      </c>
      <c r="K113" s="7">
        <f>IF('[1]Personale di appoggio'!K114="X",1,0)</f>
        <v>0</v>
      </c>
      <c r="L113" s="7">
        <f>IF('[1]Personale di appoggio'!L114="X",1,0)</f>
        <v>0</v>
      </c>
      <c r="M113" s="7">
        <f>IF('[1]Personale di appoggio'!M114="X",1,0)</f>
        <v>0</v>
      </c>
      <c r="N113" s="3"/>
      <c r="O113" s="3"/>
      <c r="P113" s="11" t="str">
        <f>IF('[1]Personale di appoggio'!$P114="","",'[1]Personale di appoggio'!$P114)</f>
        <v/>
      </c>
      <c r="Q113" s="4" t="s">
        <v>6</v>
      </c>
      <c r="R113" s="4">
        <f t="shared" si="1"/>
        <v>4</v>
      </c>
    </row>
    <row r="114" spans="1:18" ht="31.5" x14ac:dyDescent="0.45">
      <c r="A114" s="9">
        <v>114</v>
      </c>
      <c r="B114" s="2" t="s">
        <v>630</v>
      </c>
      <c r="C114" s="3" t="s">
        <v>631</v>
      </c>
      <c r="D114" s="3" t="s">
        <v>632</v>
      </c>
      <c r="E114" s="4">
        <f>IFERROR(INDEX([1]uot!$A$2:$A$40, MATCH("*"&amp;'[1]Personale di appoggio'!$D115&amp;"*", [1]uot!$B$2:$B$40, 0)), "Valore non trovato")</f>
        <v>20</v>
      </c>
      <c r="F114" s="4">
        <f>IF(TRIM('[1]Personale di appoggio'!$F115)=TRIM([1]qualifiche!$E$2),[1]qualifiche!$D$2,
IF(TRIM('[1]Personale di appoggio'!$F115)=TRIM([1]qualifiche!$E$3),[1]qualifiche!$D$3,
IF(TRIM('[1]Personale di appoggio'!$F115)=TRIM([1]qualifiche!$E$4),[1]qualifiche!$D$4,
IF(TRIM('[1]Personale di appoggio'!$F115)=TRIM([1]qualifiche!$E$5),[1]qualifiche!$D$5,
IF(TRIM('[1]Personale di appoggio'!$F115)=TRIM([1]qualifiche!$E$6),[1]qualifiche!$D$6,
IF(TRIM('[1]Personale di appoggio'!$F115)=TRIM([1]qualifiche!$E$7),[1]qualifiche!$D$7,
IF(TRIM('[1]Personale di appoggio'!$F115)=TRIM([1]qualifiche!$E$8),[1]qualifiche!$D$8,
IF(TRIM('[1]Personale di appoggio'!$F115)=TRIM([1]qualifiche!$E$9),[1]qualifiche!$D$9,
IF(TRIM('[1]Personale di appoggio'!$F115)=TRIM([1]qualifiche!$E$10),[1]qualifiche!$D$10,
IF(TRIM('[1]Personale di appoggio'!$F115)=TRIM([1]qualifiche!$E$11),[1]qualifiche!$D$11,""))))))))))</f>
        <v>1</v>
      </c>
      <c r="G114" s="5" t="s">
        <v>633</v>
      </c>
      <c r="H114" s="5" t="s">
        <v>634</v>
      </c>
      <c r="I114" s="6" t="s">
        <v>635</v>
      </c>
      <c r="J114" s="7">
        <f>IF('[1]Personale di appoggio'!J115="X",1,0)</f>
        <v>1</v>
      </c>
      <c r="K114" s="7">
        <f>IF('[1]Personale di appoggio'!K115="X",1,0)</f>
        <v>1</v>
      </c>
      <c r="L114" s="7">
        <f>IF('[1]Personale di appoggio'!L115="X",1,0)</f>
        <v>1</v>
      </c>
      <c r="M114" s="7">
        <f>IF('[1]Personale di appoggio'!M115="X",1,0)</f>
        <v>1</v>
      </c>
      <c r="N114" s="3"/>
      <c r="O114" s="3"/>
      <c r="P114" s="11" t="str">
        <f>IF('[1]Personale di appoggio'!$P115="","",'[1]Personale di appoggio'!$P115)</f>
        <v>Ispettore Seveso</v>
      </c>
      <c r="Q114" s="4" t="s">
        <v>6</v>
      </c>
      <c r="R114" s="4">
        <f t="shared" si="1"/>
        <v>1</v>
      </c>
    </row>
    <row r="115" spans="1:18" ht="47.25" x14ac:dyDescent="0.45">
      <c r="A115" s="9">
        <v>115</v>
      </c>
      <c r="B115" s="2" t="s">
        <v>636</v>
      </c>
      <c r="C115" s="3" t="s">
        <v>637</v>
      </c>
      <c r="D115" s="3" t="s">
        <v>638</v>
      </c>
      <c r="E115" s="4">
        <f>IFERROR(INDEX([1]uot!$A$2:$A$40, MATCH("*"&amp;'[1]Personale di appoggio'!$D116&amp;"*", [1]uot!$B$2:$B$40, 0)), "Valore non trovato")</f>
        <v>20</v>
      </c>
      <c r="F115" s="4">
        <f>IF(TRIM('[1]Personale di appoggio'!$F116)=TRIM([1]qualifiche!$E$2),[1]qualifiche!$D$2,
IF(TRIM('[1]Personale di appoggio'!$F116)=TRIM([1]qualifiche!$E$3),[1]qualifiche!$D$3,
IF(TRIM('[1]Personale di appoggio'!$F116)=TRIM([1]qualifiche!$E$4),[1]qualifiche!$D$4,
IF(TRIM('[1]Personale di appoggio'!$F116)=TRIM([1]qualifiche!$E$5),[1]qualifiche!$D$5,
IF(TRIM('[1]Personale di appoggio'!$F116)=TRIM([1]qualifiche!$E$6),[1]qualifiche!$D$6,
IF(TRIM('[1]Personale di appoggio'!$F116)=TRIM([1]qualifiche!$E$7),[1]qualifiche!$D$7,
IF(TRIM('[1]Personale di appoggio'!$F116)=TRIM([1]qualifiche!$E$8),[1]qualifiche!$D$8,
IF(TRIM('[1]Personale di appoggio'!$F116)=TRIM([1]qualifiche!$E$9),[1]qualifiche!$D$9,
IF(TRIM('[1]Personale di appoggio'!$F116)=TRIM([1]qualifiche!$E$10),[1]qualifiche!$D$10,
IF(TRIM('[1]Personale di appoggio'!$F116)=TRIM([1]qualifiche!$E$11),[1]qualifiche!$D$11,""))))))))))</f>
        <v>2</v>
      </c>
      <c r="G115" s="5" t="s">
        <v>639</v>
      </c>
      <c r="H115" s="5" t="s">
        <v>640</v>
      </c>
      <c r="I115" s="6" t="s">
        <v>641</v>
      </c>
      <c r="J115" s="7">
        <f>IF('[1]Personale di appoggio'!J116="X",1,0)</f>
        <v>1</v>
      </c>
      <c r="K115" s="7">
        <f>IF('[1]Personale di appoggio'!K116="X",1,0)</f>
        <v>1</v>
      </c>
      <c r="L115" s="7">
        <f>IF('[1]Personale di appoggio'!L116="X",1,0)</f>
        <v>1</v>
      </c>
      <c r="M115" s="7">
        <f>IF('[1]Personale di appoggio'!M116="X",1,0)</f>
        <v>1</v>
      </c>
      <c r="N115" s="3"/>
      <c r="O115" s="3"/>
      <c r="P115" s="11" t="str">
        <f>IF('[1]Personale di appoggio'!$P116="","",'[1]Personale di appoggio'!$P116)</f>
        <v>Ispettore Seveso</v>
      </c>
      <c r="Q115" s="4" t="s">
        <v>6</v>
      </c>
      <c r="R115" s="4">
        <f t="shared" si="1"/>
        <v>1</v>
      </c>
    </row>
    <row r="116" spans="1:18" ht="42.75" x14ac:dyDescent="0.45">
      <c r="A116" s="9">
        <v>116</v>
      </c>
      <c r="B116" s="2" t="s">
        <v>642</v>
      </c>
      <c r="C116" s="3" t="s">
        <v>643</v>
      </c>
      <c r="D116" s="3" t="s">
        <v>644</v>
      </c>
      <c r="E116" s="4">
        <f>IFERROR(INDEX([1]uot!$A$2:$A$40, MATCH("*"&amp;'[1]Personale di appoggio'!$D117&amp;"*", [1]uot!$B$2:$B$40, 0)), "Valore non trovato")</f>
        <v>20</v>
      </c>
      <c r="F116" s="4">
        <f>IF(TRIM('[1]Personale di appoggio'!$F117)=TRIM([1]qualifiche!$E$2),[1]qualifiche!$D$2,
IF(TRIM('[1]Personale di appoggio'!$F117)=TRIM([1]qualifiche!$E$3),[1]qualifiche!$D$3,
IF(TRIM('[1]Personale di appoggio'!$F117)=TRIM([1]qualifiche!$E$4),[1]qualifiche!$D$4,
IF(TRIM('[1]Personale di appoggio'!$F117)=TRIM([1]qualifiche!$E$5),[1]qualifiche!$D$5,
IF(TRIM('[1]Personale di appoggio'!$F117)=TRIM([1]qualifiche!$E$6),[1]qualifiche!$D$6,
IF(TRIM('[1]Personale di appoggio'!$F117)=TRIM([1]qualifiche!$E$7),[1]qualifiche!$D$7,
IF(TRIM('[1]Personale di appoggio'!$F117)=TRIM([1]qualifiche!$E$8),[1]qualifiche!$D$8,
IF(TRIM('[1]Personale di appoggio'!$F117)=TRIM([1]qualifiche!$E$9),[1]qualifiche!$D$9,
IF(TRIM('[1]Personale di appoggio'!$F117)=TRIM([1]qualifiche!$E$10),[1]qualifiche!$D$10,
IF(TRIM('[1]Personale di appoggio'!$F117)=TRIM([1]qualifiche!$E$11),[1]qualifiche!$D$11,""))))))))))</f>
        <v>5</v>
      </c>
      <c r="G116" s="5" t="s">
        <v>645</v>
      </c>
      <c r="H116" s="5" t="s">
        <v>646</v>
      </c>
      <c r="I116" s="6" t="s">
        <v>647</v>
      </c>
      <c r="J116" s="7">
        <f>IF('[1]Personale di appoggio'!J117="X",1,0)</f>
        <v>1</v>
      </c>
      <c r="K116" s="7">
        <f>IF('[1]Personale di appoggio'!K117="X",1,0)</f>
        <v>0</v>
      </c>
      <c r="L116" s="7">
        <f>IF('[1]Personale di appoggio'!L117="X",1,0)</f>
        <v>1</v>
      </c>
      <c r="M116" s="7">
        <f>IF('[1]Personale di appoggio'!M117="X",1,0)</f>
        <v>0</v>
      </c>
      <c r="N116" s="3"/>
      <c r="O116" s="3"/>
      <c r="P116" s="11" t="str">
        <f>IF('[1]Personale di appoggio'!$P117="","",'[1]Personale di appoggio'!$P117)</f>
        <v>Ispettore Seveso</v>
      </c>
      <c r="Q116" s="4" t="s">
        <v>6</v>
      </c>
      <c r="R116" s="4">
        <f t="shared" si="1"/>
        <v>2</v>
      </c>
    </row>
    <row r="117" spans="1:18" ht="31.5" x14ac:dyDescent="0.45">
      <c r="A117" s="9">
        <v>117</v>
      </c>
      <c r="B117" s="2" t="s">
        <v>648</v>
      </c>
      <c r="C117" s="3" t="s">
        <v>649</v>
      </c>
      <c r="D117" s="3" t="s">
        <v>650</v>
      </c>
      <c r="E117" s="4">
        <f>IFERROR(INDEX([1]uot!$A$2:$A$40, MATCH("*"&amp;'[1]Personale di appoggio'!$D118&amp;"*", [1]uot!$B$2:$B$40, 0)), "Valore non trovato")</f>
        <v>20</v>
      </c>
      <c r="F117" s="4">
        <f>IF(TRIM('[1]Personale di appoggio'!$F118)=TRIM([1]qualifiche!$E$2),[1]qualifiche!$D$2,
IF(TRIM('[1]Personale di appoggio'!$F118)=TRIM([1]qualifiche!$E$3),[1]qualifiche!$D$3,
IF(TRIM('[1]Personale di appoggio'!$F118)=TRIM([1]qualifiche!$E$4),[1]qualifiche!$D$4,
IF(TRIM('[1]Personale di appoggio'!$F118)=TRIM([1]qualifiche!$E$5),[1]qualifiche!$D$5,
IF(TRIM('[1]Personale di appoggio'!$F118)=TRIM([1]qualifiche!$E$6),[1]qualifiche!$D$6,
IF(TRIM('[1]Personale di appoggio'!$F118)=TRIM([1]qualifiche!$E$7),[1]qualifiche!$D$7,
IF(TRIM('[1]Personale di appoggio'!$F118)=TRIM([1]qualifiche!$E$8),[1]qualifiche!$D$8,
IF(TRIM('[1]Personale di appoggio'!$F118)=TRIM([1]qualifiche!$E$9),[1]qualifiche!$D$9,
IF(TRIM('[1]Personale di appoggio'!$F118)=TRIM([1]qualifiche!$E$10),[1]qualifiche!$D$10,
IF(TRIM('[1]Personale di appoggio'!$F118)=TRIM([1]qualifiche!$E$11),[1]qualifiche!$D$11,""))))))))))</f>
        <v>4</v>
      </c>
      <c r="G117" s="5"/>
      <c r="H117" s="5" t="s">
        <v>651</v>
      </c>
      <c r="I117" s="6" t="s">
        <v>652</v>
      </c>
      <c r="J117" s="7">
        <f>IF('[1]Personale di appoggio'!J118="X",1,0)</f>
        <v>1</v>
      </c>
      <c r="K117" s="7">
        <f>IF('[1]Personale di appoggio'!K118="X",1,0)</f>
        <v>0</v>
      </c>
      <c r="L117" s="7">
        <f>IF('[1]Personale di appoggio'!L118="X",1,0)</f>
        <v>1</v>
      </c>
      <c r="M117" s="7">
        <f>IF('[1]Personale di appoggio'!M118="X",1,0)</f>
        <v>0</v>
      </c>
      <c r="N117" s="3"/>
      <c r="O117" s="3"/>
      <c r="P117" s="11" t="str">
        <f>IF('[1]Personale di appoggio'!$P118="","",'[1]Personale di appoggio'!$P118)</f>
        <v>Ispettore Seveso</v>
      </c>
      <c r="Q117" s="4" t="s">
        <v>6</v>
      </c>
      <c r="R117" s="4">
        <f t="shared" si="1"/>
        <v>2</v>
      </c>
    </row>
    <row r="118" spans="1:18" ht="31.5" x14ac:dyDescent="0.45">
      <c r="A118" s="9">
        <v>118</v>
      </c>
      <c r="B118" s="2" t="s">
        <v>653</v>
      </c>
      <c r="C118" s="3" t="s">
        <v>654</v>
      </c>
      <c r="D118" s="3" t="s">
        <v>513</v>
      </c>
      <c r="E118" s="4">
        <f>IFERROR(INDEX([1]uot!$A$2:$A$40, MATCH("*"&amp;'[1]Personale di appoggio'!$D119&amp;"*", [1]uot!$B$2:$B$40, 0)), "Valore non trovato")</f>
        <v>20</v>
      </c>
      <c r="F118" s="4">
        <f>IF(TRIM('[1]Personale di appoggio'!$F119)=TRIM([1]qualifiche!$E$2),[1]qualifiche!$D$2,
IF(TRIM('[1]Personale di appoggio'!$F119)=TRIM([1]qualifiche!$E$3),[1]qualifiche!$D$3,
IF(TRIM('[1]Personale di appoggio'!$F119)=TRIM([1]qualifiche!$E$4),[1]qualifiche!$D$4,
IF(TRIM('[1]Personale di appoggio'!$F119)=TRIM([1]qualifiche!$E$5),[1]qualifiche!$D$5,
IF(TRIM('[1]Personale di appoggio'!$F119)=TRIM([1]qualifiche!$E$6),[1]qualifiche!$D$6,
IF(TRIM('[1]Personale di appoggio'!$F119)=TRIM([1]qualifiche!$E$7),[1]qualifiche!$D$7,
IF(TRIM('[1]Personale di appoggio'!$F119)=TRIM([1]qualifiche!$E$8),[1]qualifiche!$D$8,
IF(TRIM('[1]Personale di appoggio'!$F119)=TRIM([1]qualifiche!$E$9),[1]qualifiche!$D$9,
IF(TRIM('[1]Personale di appoggio'!$F119)=TRIM([1]qualifiche!$E$10),[1]qualifiche!$D$10,
IF(TRIM('[1]Personale di appoggio'!$F119)=TRIM([1]qualifiche!$E$11),[1]qualifiche!$D$11,""))))))))))</f>
        <v>6</v>
      </c>
      <c r="G118" s="5" t="s">
        <v>655</v>
      </c>
      <c r="H118" s="5" t="s">
        <v>656</v>
      </c>
      <c r="I118" s="6" t="s">
        <v>657</v>
      </c>
      <c r="J118" s="7">
        <f>IF('[1]Personale di appoggio'!J119="X",1,0)</f>
        <v>0</v>
      </c>
      <c r="K118" s="7">
        <f>IF('[1]Personale di appoggio'!K119="X",1,0)</f>
        <v>0</v>
      </c>
      <c r="L118" s="7">
        <f>IF('[1]Personale di appoggio'!L119="X",1,0)</f>
        <v>0</v>
      </c>
      <c r="M118" s="7">
        <f>IF('[1]Personale di appoggio'!M119="X",1,0)</f>
        <v>1</v>
      </c>
      <c r="N118" s="3"/>
      <c r="O118" s="3"/>
      <c r="P118" s="11" t="str">
        <f>IF('[1]Personale di appoggio'!$P119="","",'[1]Personale di appoggio'!$P119)</f>
        <v/>
      </c>
      <c r="Q118" s="4" t="s">
        <v>6</v>
      </c>
      <c r="R118" s="4">
        <f t="shared" si="1"/>
        <v>2</v>
      </c>
    </row>
    <row r="119" spans="1:18" ht="31.5" x14ac:dyDescent="0.45">
      <c r="A119" s="9">
        <v>119</v>
      </c>
      <c r="B119" s="2" t="s">
        <v>658</v>
      </c>
      <c r="C119" s="3" t="s">
        <v>659</v>
      </c>
      <c r="D119" s="3" t="s">
        <v>660</v>
      </c>
      <c r="E119" s="4">
        <f>IFERROR(INDEX([1]uot!$A$2:$A$40, MATCH("*"&amp;'[1]Personale di appoggio'!$D120&amp;"*", [1]uot!$B$2:$B$40, 0)), "Valore non trovato")</f>
        <v>20</v>
      </c>
      <c r="F119" s="4">
        <f>IF(TRIM('[1]Personale di appoggio'!$F120)=TRIM([1]qualifiche!$E$2),[1]qualifiche!$D$2,
IF(TRIM('[1]Personale di appoggio'!$F120)=TRIM([1]qualifiche!$E$3),[1]qualifiche!$D$3,
IF(TRIM('[1]Personale di appoggio'!$F120)=TRIM([1]qualifiche!$E$4),[1]qualifiche!$D$4,
IF(TRIM('[1]Personale di appoggio'!$F120)=TRIM([1]qualifiche!$E$5),[1]qualifiche!$D$5,
IF(TRIM('[1]Personale di appoggio'!$F120)=TRIM([1]qualifiche!$E$6),[1]qualifiche!$D$6,
IF(TRIM('[1]Personale di appoggio'!$F120)=TRIM([1]qualifiche!$E$7),[1]qualifiche!$D$7,
IF(TRIM('[1]Personale di appoggio'!$F120)=TRIM([1]qualifiche!$E$8),[1]qualifiche!$D$8,
IF(TRIM('[1]Personale di appoggio'!$F120)=TRIM([1]qualifiche!$E$9),[1]qualifiche!$D$9,
IF(TRIM('[1]Personale di appoggio'!$F120)=TRIM([1]qualifiche!$E$10),[1]qualifiche!$D$10,
IF(TRIM('[1]Personale di appoggio'!$F120)=TRIM([1]qualifiche!$E$11),[1]qualifiche!$D$11,""))))))))))</f>
        <v>6</v>
      </c>
      <c r="G119" s="5" t="s">
        <v>661</v>
      </c>
      <c r="H119" s="5" t="s">
        <v>662</v>
      </c>
      <c r="I119" s="6" t="s">
        <v>663</v>
      </c>
      <c r="J119" s="7">
        <f>IF('[1]Personale di appoggio'!J120="X",1,0)</f>
        <v>0</v>
      </c>
      <c r="K119" s="7">
        <f>IF('[1]Personale di appoggio'!K120="X",1,0)</f>
        <v>1</v>
      </c>
      <c r="L119" s="7">
        <f>IF('[1]Personale di appoggio'!L120="X",1,0)</f>
        <v>0</v>
      </c>
      <c r="M119" s="7">
        <f>IF('[1]Personale di appoggio'!M120="X",1,0)</f>
        <v>0</v>
      </c>
      <c r="N119" s="3"/>
      <c r="O119" s="3"/>
      <c r="P119" s="11" t="str">
        <f>IF('[1]Personale di appoggio'!$P120="","",'[1]Personale di appoggio'!$P120)</f>
        <v/>
      </c>
      <c r="Q119" s="4" t="s">
        <v>6</v>
      </c>
      <c r="R119" s="4">
        <f t="shared" si="1"/>
        <v>2</v>
      </c>
    </row>
    <row r="120" spans="1:18" ht="31.5" x14ac:dyDescent="0.45">
      <c r="A120" s="9">
        <v>120</v>
      </c>
      <c r="B120" s="2" t="s">
        <v>664</v>
      </c>
      <c r="C120" s="3" t="s">
        <v>665</v>
      </c>
      <c r="D120" s="3" t="s">
        <v>278</v>
      </c>
      <c r="E120" s="4">
        <f>IFERROR(INDEX([1]uot!$A$2:$A$40, MATCH("*"&amp;'[1]Personale di appoggio'!$D121&amp;"*", [1]uot!$B$2:$B$40, 0)), "Valore non trovato")</f>
        <v>20</v>
      </c>
      <c r="F120" s="4">
        <f>IF(TRIM('[1]Personale di appoggio'!$F121)=TRIM([1]qualifiche!$E$2),[1]qualifiche!$D$2,
IF(TRIM('[1]Personale di appoggio'!$F121)=TRIM([1]qualifiche!$E$3),[1]qualifiche!$D$3,
IF(TRIM('[1]Personale di appoggio'!$F121)=TRIM([1]qualifiche!$E$4),[1]qualifiche!$D$4,
IF(TRIM('[1]Personale di appoggio'!$F121)=TRIM([1]qualifiche!$E$5),[1]qualifiche!$D$5,
IF(TRIM('[1]Personale di appoggio'!$F121)=TRIM([1]qualifiche!$E$6),[1]qualifiche!$D$6,
IF(TRIM('[1]Personale di appoggio'!$F121)=TRIM([1]qualifiche!$E$7),[1]qualifiche!$D$7,
IF(TRIM('[1]Personale di appoggio'!$F121)=TRIM([1]qualifiche!$E$8),[1]qualifiche!$D$8,
IF(TRIM('[1]Personale di appoggio'!$F121)=TRIM([1]qualifiche!$E$9),[1]qualifiche!$D$9,
IF(TRIM('[1]Personale di appoggio'!$F121)=TRIM([1]qualifiche!$E$10),[1]qualifiche!$D$10,
IF(TRIM('[1]Personale di appoggio'!$F121)=TRIM([1]qualifiche!$E$11),[1]qualifiche!$D$11,""))))))))))</f>
        <v>7</v>
      </c>
      <c r="G120" s="5" t="s">
        <v>666</v>
      </c>
      <c r="H120" s="5" t="s">
        <v>667</v>
      </c>
      <c r="I120" s="6" t="s">
        <v>668</v>
      </c>
      <c r="J120" s="7">
        <f>IF('[1]Personale di appoggio'!J121="X",1,0)</f>
        <v>1</v>
      </c>
      <c r="K120" s="7">
        <f>IF('[1]Personale di appoggio'!K121="X",1,0)</f>
        <v>1</v>
      </c>
      <c r="L120" s="7">
        <f>IF('[1]Personale di appoggio'!L121="X",1,0)</f>
        <v>1</v>
      </c>
      <c r="M120" s="7">
        <f>IF('[1]Personale di appoggio'!M121="X",1,0)</f>
        <v>1</v>
      </c>
      <c r="N120" s="3"/>
      <c r="O120" s="3"/>
      <c r="P120" s="11" t="str">
        <f>IF('[1]Personale di appoggio'!$P121="","",'[1]Personale di appoggio'!$P121)</f>
        <v/>
      </c>
      <c r="Q120" s="4" t="s">
        <v>6</v>
      </c>
      <c r="R120" s="4">
        <f t="shared" si="1"/>
        <v>1</v>
      </c>
    </row>
    <row r="121" spans="1:18" ht="31.5" x14ac:dyDescent="0.45">
      <c r="A121" s="9">
        <v>121</v>
      </c>
      <c r="B121" s="2" t="s">
        <v>669</v>
      </c>
      <c r="C121" s="3" t="s">
        <v>670</v>
      </c>
      <c r="D121" s="3" t="s">
        <v>671</v>
      </c>
      <c r="E121" s="4">
        <f>IFERROR(INDEX([1]uot!$A$2:$A$40, MATCH("*"&amp;'[1]Personale di appoggio'!$D122&amp;"*", [1]uot!$B$2:$B$40, 0)), "Valore non trovato")</f>
        <v>20</v>
      </c>
      <c r="F121" s="4">
        <f>IF(TRIM('[1]Personale di appoggio'!$F122)=TRIM([1]qualifiche!$E$2),[1]qualifiche!$D$2,
IF(TRIM('[1]Personale di appoggio'!$F122)=TRIM([1]qualifiche!$E$3),[1]qualifiche!$D$3,
IF(TRIM('[1]Personale di appoggio'!$F122)=TRIM([1]qualifiche!$E$4),[1]qualifiche!$D$4,
IF(TRIM('[1]Personale di appoggio'!$F122)=TRIM([1]qualifiche!$E$5),[1]qualifiche!$D$5,
IF(TRIM('[1]Personale di appoggio'!$F122)=TRIM([1]qualifiche!$E$6),[1]qualifiche!$D$6,
IF(TRIM('[1]Personale di appoggio'!$F122)=TRIM([1]qualifiche!$E$7),[1]qualifiche!$D$7,
IF(TRIM('[1]Personale di appoggio'!$F122)=TRIM([1]qualifiche!$E$8),[1]qualifiche!$D$8,
IF(TRIM('[1]Personale di appoggio'!$F122)=TRIM([1]qualifiche!$E$9),[1]qualifiche!$D$9,
IF(TRIM('[1]Personale di appoggio'!$F122)=TRIM([1]qualifiche!$E$10),[1]qualifiche!$D$10,
IF(TRIM('[1]Personale di appoggio'!$F122)=TRIM([1]qualifiche!$E$11),[1]qualifiche!$D$11,""))))))))))</f>
        <v>7</v>
      </c>
      <c r="G121" s="5" t="s">
        <v>672</v>
      </c>
      <c r="H121" s="5"/>
      <c r="I121" s="6" t="s">
        <v>673</v>
      </c>
      <c r="J121" s="7">
        <f>IF('[1]Personale di appoggio'!J122="X",1,0)</f>
        <v>1</v>
      </c>
      <c r="K121" s="7">
        <f>IF('[1]Personale di appoggio'!K122="X",1,0)</f>
        <v>1</v>
      </c>
      <c r="L121" s="7">
        <f>IF('[1]Personale di appoggio'!L122="X",1,0)</f>
        <v>1</v>
      </c>
      <c r="M121" s="7">
        <f>IF('[1]Personale di appoggio'!M122="X",1,0)</f>
        <v>1</v>
      </c>
      <c r="N121" s="3"/>
      <c r="O121" s="3"/>
      <c r="P121" s="11" t="str">
        <f>IF('[1]Personale di appoggio'!$P122="","",'[1]Personale di appoggio'!$P122)</f>
        <v/>
      </c>
      <c r="Q121" s="4" t="s">
        <v>6</v>
      </c>
      <c r="R121" s="4">
        <f t="shared" si="1"/>
        <v>1</v>
      </c>
    </row>
    <row r="122" spans="1:18" ht="31.5" x14ac:dyDescent="0.45">
      <c r="A122" s="9">
        <v>122</v>
      </c>
      <c r="B122" s="2" t="s">
        <v>674</v>
      </c>
      <c r="C122" s="3" t="s">
        <v>675</v>
      </c>
      <c r="D122" s="3" t="s">
        <v>676</v>
      </c>
      <c r="E122" s="4">
        <f>IFERROR(INDEX([1]uot!$A$2:$A$40, MATCH("*"&amp;'[1]Personale di appoggio'!$D123&amp;"*", [1]uot!$B$2:$B$40, 0)), "Valore non trovato")</f>
        <v>20</v>
      </c>
      <c r="F122" s="4">
        <f>IF(TRIM('[1]Personale di appoggio'!$F123)=TRIM([1]qualifiche!$E$2),[1]qualifiche!$D$2,
IF(TRIM('[1]Personale di appoggio'!$F123)=TRIM([1]qualifiche!$E$3),[1]qualifiche!$D$3,
IF(TRIM('[1]Personale di appoggio'!$F123)=TRIM([1]qualifiche!$E$4),[1]qualifiche!$D$4,
IF(TRIM('[1]Personale di appoggio'!$F123)=TRIM([1]qualifiche!$E$5),[1]qualifiche!$D$5,
IF(TRIM('[1]Personale di appoggio'!$F123)=TRIM([1]qualifiche!$E$6),[1]qualifiche!$D$6,
IF(TRIM('[1]Personale di appoggio'!$F123)=TRIM([1]qualifiche!$E$7),[1]qualifiche!$D$7,
IF(TRIM('[1]Personale di appoggio'!$F123)=TRIM([1]qualifiche!$E$8),[1]qualifiche!$D$8,
IF(TRIM('[1]Personale di appoggio'!$F123)=TRIM([1]qualifiche!$E$9),[1]qualifiche!$D$9,
IF(TRIM('[1]Personale di appoggio'!$F123)=TRIM([1]qualifiche!$E$10),[1]qualifiche!$D$10,
IF(TRIM('[1]Personale di appoggio'!$F123)=TRIM([1]qualifiche!$E$11),[1]qualifiche!$D$11,""))))))))))</f>
        <v>8</v>
      </c>
      <c r="G122" s="5" t="s">
        <v>677</v>
      </c>
      <c r="H122" s="5" t="s">
        <v>678</v>
      </c>
      <c r="I122" s="6" t="s">
        <v>679</v>
      </c>
      <c r="J122" s="7">
        <f>IF('[1]Personale di appoggio'!J123="X",1,0)</f>
        <v>0</v>
      </c>
      <c r="K122" s="7">
        <f>IF('[1]Personale di appoggio'!K123="X",1,0)</f>
        <v>0</v>
      </c>
      <c r="L122" s="7">
        <f>IF('[1]Personale di appoggio'!L123="X",1,0)</f>
        <v>0</v>
      </c>
      <c r="M122" s="7">
        <f>IF('[1]Personale di appoggio'!M123="X",1,0)</f>
        <v>0</v>
      </c>
      <c r="N122" s="3"/>
      <c r="O122" s="3"/>
      <c r="P122" s="11" t="str">
        <f>IF('[1]Personale di appoggio'!$P123="","",'[1]Personale di appoggio'!$P123)</f>
        <v>Centralino</v>
      </c>
      <c r="Q122" s="4" t="s">
        <v>6</v>
      </c>
      <c r="R122" s="4">
        <f t="shared" si="1"/>
        <v>4</v>
      </c>
    </row>
    <row r="123" spans="1:18" ht="409.5" x14ac:dyDescent="0.45">
      <c r="A123" s="9">
        <v>123</v>
      </c>
      <c r="B123" s="2" t="s">
        <v>680</v>
      </c>
      <c r="C123" s="3" t="s">
        <v>681</v>
      </c>
      <c r="D123" s="3" t="s">
        <v>211</v>
      </c>
      <c r="E123" s="4">
        <f>IFERROR(INDEX([1]uot!$A$2:$A$40, MATCH("*"&amp;'[1]Personale di appoggio'!$D124&amp;"*", [1]uot!$B$2:$B$40, 0)), "Valore non trovato")</f>
        <v>32</v>
      </c>
      <c r="F123" s="4">
        <f>IF(TRIM('[1]Personale di appoggio'!$F124)=TRIM([1]qualifiche!$E$2),[1]qualifiche!$D$2,
IF(TRIM('[1]Personale di appoggio'!$F124)=TRIM([1]qualifiche!$E$3),[1]qualifiche!$D$3,
IF(TRIM('[1]Personale di appoggio'!$F124)=TRIM([1]qualifiche!$E$4),[1]qualifiche!$D$4,
IF(TRIM('[1]Personale di appoggio'!$F124)=TRIM([1]qualifiche!$E$5),[1]qualifiche!$D$5,
IF(TRIM('[1]Personale di appoggio'!$F124)=TRIM([1]qualifiche!$E$6),[1]qualifiche!$D$6,
IF(TRIM('[1]Personale di appoggio'!$F124)=TRIM([1]qualifiche!$E$7),[1]qualifiche!$D$7,
IF(TRIM('[1]Personale di appoggio'!$F124)=TRIM([1]qualifiche!$E$8),[1]qualifiche!$D$8,
IF(TRIM('[1]Personale di appoggio'!$F124)=TRIM([1]qualifiche!$E$9),[1]qualifiche!$D$9,
IF(TRIM('[1]Personale di appoggio'!$F124)=TRIM([1]qualifiche!$E$10),[1]qualifiche!$D$10,
IF(TRIM('[1]Personale di appoggio'!$F124)=TRIM([1]qualifiche!$E$11),[1]qualifiche!$D$11,""))))))))))</f>
        <v>1</v>
      </c>
      <c r="G123" s="5" t="s">
        <v>682</v>
      </c>
      <c r="H123" s="5" t="s">
        <v>683</v>
      </c>
      <c r="I123" s="6" t="s">
        <v>684</v>
      </c>
      <c r="J123" s="7">
        <f>IF('[1]Personale di appoggio'!J124="X",1,0)</f>
        <v>1</v>
      </c>
      <c r="K123" s="7">
        <f>IF('[1]Personale di appoggio'!K124="X",1,0)</f>
        <v>0</v>
      </c>
      <c r="L123" s="7">
        <f>IF('[1]Personale di appoggio'!L124="X",1,0)</f>
        <v>1</v>
      </c>
      <c r="M123" s="7">
        <f>IF('[1]Personale di appoggio'!M124="X",1,0)</f>
        <v>0</v>
      </c>
      <c r="N123" s="3"/>
      <c r="O123" s="3"/>
      <c r="P123" s="11" t="str">
        <f>IF('[1]Personale di appoggio'!$P124="","",'[1]Personale di appoggio'!$P124)</f>
        <v>RISCALDAMENTO: al momento attività sospesa
NOTA DEL Direttore della UOT: comunico di ricevere assistenza tecnica per le dichiarazioni di messa in servizio di apparecchi semplici a pressione (art. 5.1.c) e per le dichiarazioni di messa in servizio di serba</v>
      </c>
      <c r="Q123" s="4" t="s">
        <v>6</v>
      </c>
      <c r="R123" s="4">
        <f t="shared" si="1"/>
        <v>2</v>
      </c>
    </row>
    <row r="124" spans="1:18" ht="31.5" x14ac:dyDescent="0.45">
      <c r="A124" s="9">
        <v>124</v>
      </c>
      <c r="B124" s="2" t="s">
        <v>685</v>
      </c>
      <c r="C124" s="3" t="s">
        <v>686</v>
      </c>
      <c r="D124" s="3" t="s">
        <v>490</v>
      </c>
      <c r="E124" s="4">
        <f>IFERROR(INDEX([1]uot!$A$2:$A$40, MATCH("*"&amp;'[1]Personale di appoggio'!$D125&amp;"*", [1]uot!$B$2:$B$40, 0)), "Valore non trovato")</f>
        <v>32</v>
      </c>
      <c r="F124" s="4">
        <f>IF(TRIM('[1]Personale di appoggio'!$F125)=TRIM([1]qualifiche!$E$2),[1]qualifiche!$D$2,
IF(TRIM('[1]Personale di appoggio'!$F125)=TRIM([1]qualifiche!$E$3),[1]qualifiche!$D$3,
IF(TRIM('[1]Personale di appoggio'!$F125)=TRIM([1]qualifiche!$E$4),[1]qualifiche!$D$4,
IF(TRIM('[1]Personale di appoggio'!$F125)=TRIM([1]qualifiche!$E$5),[1]qualifiche!$D$5,
IF(TRIM('[1]Personale di appoggio'!$F125)=TRIM([1]qualifiche!$E$6),[1]qualifiche!$D$6,
IF(TRIM('[1]Personale di appoggio'!$F125)=TRIM([1]qualifiche!$E$7),[1]qualifiche!$D$7,
IF(TRIM('[1]Personale di appoggio'!$F125)=TRIM([1]qualifiche!$E$8),[1]qualifiche!$D$8,
IF(TRIM('[1]Personale di appoggio'!$F125)=TRIM([1]qualifiche!$E$9),[1]qualifiche!$D$9,
IF(TRIM('[1]Personale di appoggio'!$F125)=TRIM([1]qualifiche!$E$10),[1]qualifiche!$D$10,
IF(TRIM('[1]Personale di appoggio'!$F125)=TRIM([1]qualifiche!$E$11),[1]qualifiche!$D$11,""))))))))))</f>
        <v>2</v>
      </c>
      <c r="G124" s="5" t="s">
        <v>687</v>
      </c>
      <c r="H124" s="5" t="s">
        <v>688</v>
      </c>
      <c r="I124" s="6" t="s">
        <v>689</v>
      </c>
      <c r="J124" s="7">
        <f>IF('[1]Personale di appoggio'!J125="X",1,0)</f>
        <v>1</v>
      </c>
      <c r="K124" s="7">
        <f>IF('[1]Personale di appoggio'!K125="X",1,0)</f>
        <v>0</v>
      </c>
      <c r="L124" s="7">
        <f>IF('[1]Personale di appoggio'!L125="X",1,0)</f>
        <v>1</v>
      </c>
      <c r="M124" s="7">
        <f>IF('[1]Personale di appoggio'!M125="X",1,0)</f>
        <v>0</v>
      </c>
      <c r="N124" s="3"/>
      <c r="O124" s="3"/>
      <c r="P124" s="11" t="str">
        <f>IF('[1]Personale di appoggio'!$P125="","",'[1]Personale di appoggio'!$P125)</f>
        <v/>
      </c>
      <c r="Q124" s="4" t="s">
        <v>6</v>
      </c>
      <c r="R124" s="4">
        <f t="shared" si="1"/>
        <v>2</v>
      </c>
    </row>
    <row r="125" spans="1:18" ht="157.5" x14ac:dyDescent="0.45">
      <c r="A125" s="9">
        <v>125</v>
      </c>
      <c r="B125" s="2" t="s">
        <v>690</v>
      </c>
      <c r="C125" s="3" t="s">
        <v>691</v>
      </c>
      <c r="D125" s="3" t="s">
        <v>87</v>
      </c>
      <c r="E125" s="4">
        <f>IFERROR(INDEX([1]uot!$A$2:$A$40, MATCH("*"&amp;'[1]Personale di appoggio'!$D126&amp;"*", [1]uot!$B$2:$B$40, 0)), "Valore non trovato")</f>
        <v>32</v>
      </c>
      <c r="F125" s="4">
        <f>IF(TRIM('[1]Personale di appoggio'!$F126)=TRIM([1]qualifiche!$E$2),[1]qualifiche!$D$2,
IF(TRIM('[1]Personale di appoggio'!$F126)=TRIM([1]qualifiche!$E$3),[1]qualifiche!$D$3,
IF(TRIM('[1]Personale di appoggio'!$F126)=TRIM([1]qualifiche!$E$4),[1]qualifiche!$D$4,
IF(TRIM('[1]Personale di appoggio'!$F126)=TRIM([1]qualifiche!$E$5),[1]qualifiche!$D$5,
IF(TRIM('[1]Personale di appoggio'!$F126)=TRIM([1]qualifiche!$E$6),[1]qualifiche!$D$6,
IF(TRIM('[1]Personale di appoggio'!$F126)=TRIM([1]qualifiche!$E$7),[1]qualifiche!$D$7,
IF(TRIM('[1]Personale di appoggio'!$F126)=TRIM([1]qualifiche!$E$8),[1]qualifiche!$D$8,
IF(TRIM('[1]Personale di appoggio'!$F126)=TRIM([1]qualifiche!$E$9),[1]qualifiche!$D$9,
IF(TRIM('[1]Personale di appoggio'!$F126)=TRIM([1]qualifiche!$E$10),[1]qualifiche!$D$10,
IF(TRIM('[1]Personale di appoggio'!$F126)=TRIM([1]qualifiche!$E$11),[1]qualifiche!$D$11,""))))))))))</f>
        <v>2</v>
      </c>
      <c r="G125" s="5"/>
      <c r="H125" s="5" t="s">
        <v>692</v>
      </c>
      <c r="I125" s="6" t="s">
        <v>693</v>
      </c>
      <c r="J125" s="7">
        <f>IF('[1]Personale di appoggio'!J126="X",1,0)</f>
        <v>1</v>
      </c>
      <c r="K125" s="7">
        <f>IF('[1]Personale di appoggio'!K126="X",1,0)</f>
        <v>1</v>
      </c>
      <c r="L125" s="7">
        <f>IF('[1]Personale di appoggio'!L126="X",1,0)</f>
        <v>1</v>
      </c>
      <c r="M125" s="7">
        <f>IF('[1]Personale di appoggio'!M126="X",1,0)</f>
        <v>0</v>
      </c>
      <c r="N125" s="3"/>
      <c r="O125" s="3"/>
      <c r="P125" s="11" t="str">
        <f>IF('[1]Personale di appoggio'!$P126="","",'[1]Personale di appoggio'!$P126)</f>
        <v>SOLLEVAMENTO: al momento attività sospesa
PRESSIONE: in formazione</v>
      </c>
      <c r="Q125" s="4" t="s">
        <v>6</v>
      </c>
      <c r="R125" s="4">
        <f t="shared" si="1"/>
        <v>2</v>
      </c>
    </row>
    <row r="126" spans="1:18" ht="157.5" x14ac:dyDescent="0.45">
      <c r="A126" s="9">
        <v>126</v>
      </c>
      <c r="B126" s="2" t="s">
        <v>694</v>
      </c>
      <c r="C126" s="3" t="s">
        <v>695</v>
      </c>
      <c r="D126" s="3" t="s">
        <v>69</v>
      </c>
      <c r="E126" s="4">
        <f>IFERROR(INDEX([1]uot!$A$2:$A$40, MATCH("*"&amp;'[1]Personale di appoggio'!$D127&amp;"*", [1]uot!$B$2:$B$40, 0)), "Valore non trovato")</f>
        <v>32</v>
      </c>
      <c r="F126" s="4">
        <f>IF(TRIM('[1]Personale di appoggio'!$F127)=TRIM([1]qualifiche!$E$2),[1]qualifiche!$D$2,
IF(TRIM('[1]Personale di appoggio'!$F127)=TRIM([1]qualifiche!$E$3),[1]qualifiche!$D$3,
IF(TRIM('[1]Personale di appoggio'!$F127)=TRIM([1]qualifiche!$E$4),[1]qualifiche!$D$4,
IF(TRIM('[1]Personale di appoggio'!$F127)=TRIM([1]qualifiche!$E$5),[1]qualifiche!$D$5,
IF(TRIM('[1]Personale di appoggio'!$F127)=TRIM([1]qualifiche!$E$6),[1]qualifiche!$D$6,
IF(TRIM('[1]Personale di appoggio'!$F127)=TRIM([1]qualifiche!$E$7),[1]qualifiche!$D$7,
IF(TRIM('[1]Personale di appoggio'!$F127)=TRIM([1]qualifiche!$E$8),[1]qualifiche!$D$8,
IF(TRIM('[1]Personale di appoggio'!$F127)=TRIM([1]qualifiche!$E$9),[1]qualifiche!$D$9,
IF(TRIM('[1]Personale di appoggio'!$F127)=TRIM([1]qualifiche!$E$10),[1]qualifiche!$D$10,
IF(TRIM('[1]Personale di appoggio'!$F127)=TRIM([1]qualifiche!$E$11),[1]qualifiche!$D$11,""))))))))))</f>
        <v>2</v>
      </c>
      <c r="G126" s="5"/>
      <c r="H126" s="5" t="s">
        <v>696</v>
      </c>
      <c r="I126" s="6" t="s">
        <v>697</v>
      </c>
      <c r="J126" s="7">
        <f>IF('[1]Personale di appoggio'!J127="X",1,0)</f>
        <v>1</v>
      </c>
      <c r="K126" s="7">
        <f>IF('[1]Personale di appoggio'!K127="X",1,0)</f>
        <v>1</v>
      </c>
      <c r="L126" s="7">
        <f>IF('[1]Personale di appoggio'!L127="X",1,0)</f>
        <v>1</v>
      </c>
      <c r="M126" s="7">
        <f>IF('[1]Personale di appoggio'!M127="X",1,0)</f>
        <v>0</v>
      </c>
      <c r="N126" s="3"/>
      <c r="O126" s="3"/>
      <c r="P126" s="11" t="str">
        <f>IF('[1]Personale di appoggio'!$P127="","",'[1]Personale di appoggio'!$P127)</f>
        <v>SOLLEVAMENTO: al momento attività sospesa
PRESSIONE: in formazione</v>
      </c>
      <c r="Q126" s="4" t="s">
        <v>6</v>
      </c>
      <c r="R126" s="4">
        <f t="shared" si="1"/>
        <v>2</v>
      </c>
    </row>
    <row r="127" spans="1:18" ht="31.5" x14ac:dyDescent="0.45">
      <c r="A127" s="9">
        <v>127</v>
      </c>
      <c r="B127" s="2" t="s">
        <v>698</v>
      </c>
      <c r="C127" s="3" t="s">
        <v>699</v>
      </c>
      <c r="D127" s="3" t="s">
        <v>650</v>
      </c>
      <c r="E127" s="4">
        <f>IFERROR(INDEX([1]uot!$A$2:$A$40, MATCH("*"&amp;'[1]Personale di appoggio'!$D128&amp;"*", [1]uot!$B$2:$B$40, 0)), "Valore non trovato")</f>
        <v>32</v>
      </c>
      <c r="F127" s="4">
        <f>IF(TRIM('[1]Personale di appoggio'!$F128)=TRIM([1]qualifiche!$E$2),[1]qualifiche!$D$2,
IF(TRIM('[1]Personale di appoggio'!$F128)=TRIM([1]qualifiche!$E$3),[1]qualifiche!$D$3,
IF(TRIM('[1]Personale di appoggio'!$F128)=TRIM([1]qualifiche!$E$4),[1]qualifiche!$D$4,
IF(TRIM('[1]Personale di appoggio'!$F128)=TRIM([1]qualifiche!$E$5),[1]qualifiche!$D$5,
IF(TRIM('[1]Personale di appoggio'!$F128)=TRIM([1]qualifiche!$E$6),[1]qualifiche!$D$6,
IF(TRIM('[1]Personale di appoggio'!$F128)=TRIM([1]qualifiche!$E$7),[1]qualifiche!$D$7,
IF(TRIM('[1]Personale di appoggio'!$F128)=TRIM([1]qualifiche!$E$8),[1]qualifiche!$D$8,
IF(TRIM('[1]Personale di appoggio'!$F128)=TRIM([1]qualifiche!$E$9),[1]qualifiche!$D$9,
IF(TRIM('[1]Personale di appoggio'!$F128)=TRIM([1]qualifiche!$E$10),[1]qualifiche!$D$10,
IF(TRIM('[1]Personale di appoggio'!$F128)=TRIM([1]qualifiche!$E$11),[1]qualifiche!$D$11,""))))))))))</f>
        <v>3</v>
      </c>
      <c r="G127" s="5" t="s">
        <v>700</v>
      </c>
      <c r="H127" s="5" t="s">
        <v>701</v>
      </c>
      <c r="I127" s="6" t="s">
        <v>702</v>
      </c>
      <c r="J127" s="7">
        <f>IF('[1]Personale di appoggio'!J128="X",1,0)</f>
        <v>0</v>
      </c>
      <c r="K127" s="7">
        <f>IF('[1]Personale di appoggio'!K128="X",1,0)</f>
        <v>0</v>
      </c>
      <c r="L127" s="7">
        <f>IF('[1]Personale di appoggio'!L128="X",1,0)</f>
        <v>0</v>
      </c>
      <c r="M127" s="7">
        <f>IF('[1]Personale di appoggio'!M128="X",1,0)</f>
        <v>0</v>
      </c>
      <c r="N127" s="3"/>
      <c r="O127" s="3"/>
      <c r="P127" s="11" t="str">
        <f>IF('[1]Personale di appoggio'!$P128="","",'[1]Personale di appoggio'!$P128)</f>
        <v/>
      </c>
      <c r="Q127" s="4" t="s">
        <v>6</v>
      </c>
      <c r="R127" s="4">
        <f t="shared" si="1"/>
        <v>4</v>
      </c>
    </row>
    <row r="128" spans="1:18" ht="157.5" x14ac:dyDescent="0.45">
      <c r="A128" s="9">
        <v>128</v>
      </c>
      <c r="B128" s="2" t="s">
        <v>703</v>
      </c>
      <c r="C128" s="3" t="s">
        <v>704</v>
      </c>
      <c r="D128" s="3" t="s">
        <v>705</v>
      </c>
      <c r="E128" s="4">
        <f>IFERROR(INDEX([1]uot!$A$2:$A$40, MATCH("*"&amp;'[1]Personale di appoggio'!$D129&amp;"*", [1]uot!$B$2:$B$40, 0)), "Valore non trovato")</f>
        <v>32</v>
      </c>
      <c r="F128" s="4">
        <f>IF(TRIM('[1]Personale di appoggio'!$F129)=TRIM([1]qualifiche!$E$2),[1]qualifiche!$D$2,
IF(TRIM('[1]Personale di appoggio'!$F129)=TRIM([1]qualifiche!$E$3),[1]qualifiche!$D$3,
IF(TRIM('[1]Personale di appoggio'!$F129)=TRIM([1]qualifiche!$E$4),[1]qualifiche!$D$4,
IF(TRIM('[1]Personale di appoggio'!$F129)=TRIM([1]qualifiche!$E$5),[1]qualifiche!$D$5,
IF(TRIM('[1]Personale di appoggio'!$F129)=TRIM([1]qualifiche!$E$6),[1]qualifiche!$D$6,
IF(TRIM('[1]Personale di appoggio'!$F129)=TRIM([1]qualifiche!$E$7),[1]qualifiche!$D$7,
IF(TRIM('[1]Personale di appoggio'!$F129)=TRIM([1]qualifiche!$E$8),[1]qualifiche!$D$8,
IF(TRIM('[1]Personale di appoggio'!$F129)=TRIM([1]qualifiche!$E$9),[1]qualifiche!$D$9,
IF(TRIM('[1]Personale di appoggio'!$F129)=TRIM([1]qualifiche!$E$10),[1]qualifiche!$D$10,
IF(TRIM('[1]Personale di appoggio'!$F129)=TRIM([1]qualifiche!$E$11),[1]qualifiche!$D$11,""))))))))))</f>
        <v>4</v>
      </c>
      <c r="G128" s="5" t="s">
        <v>706</v>
      </c>
      <c r="H128" s="5" t="s">
        <v>707</v>
      </c>
      <c r="I128" s="6" t="s">
        <v>708</v>
      </c>
      <c r="J128" s="7">
        <f>IF('[1]Personale di appoggio'!J129="X",1,0)</f>
        <v>0</v>
      </c>
      <c r="K128" s="7">
        <f>IF('[1]Personale di appoggio'!K129="X",1,0)</f>
        <v>1</v>
      </c>
      <c r="L128" s="7">
        <f>IF('[1]Personale di appoggio'!L129="X",1,0)</f>
        <v>1</v>
      </c>
      <c r="M128" s="7">
        <f>IF('[1]Personale di appoggio'!M129="X",1,0)</f>
        <v>1</v>
      </c>
      <c r="N128" s="3"/>
      <c r="O128" s="3"/>
      <c r="P128" s="11" t="str">
        <f>IF('[1]Personale di appoggio'!$P129="","",'[1]Personale di appoggio'!$P129)</f>
        <v>RISCALDAMENTO: in formazione 
TERRE: in attesa di corso di aggiornamento</v>
      </c>
      <c r="Q128" s="4" t="s">
        <v>6</v>
      </c>
      <c r="R128" s="4">
        <f t="shared" si="1"/>
        <v>2</v>
      </c>
    </row>
    <row r="129" spans="1:18" ht="31.5" x14ac:dyDescent="0.45">
      <c r="A129" s="9">
        <v>129</v>
      </c>
      <c r="B129" s="2" t="s">
        <v>709</v>
      </c>
      <c r="C129" s="3" t="s">
        <v>710</v>
      </c>
      <c r="D129" s="3" t="s">
        <v>711</v>
      </c>
      <c r="E129" s="4">
        <f>IFERROR(INDEX([1]uot!$A$2:$A$40, MATCH("*"&amp;'[1]Personale di appoggio'!$D130&amp;"*", [1]uot!$B$2:$B$40, 0)), "Valore non trovato")</f>
        <v>32</v>
      </c>
      <c r="F129" s="4">
        <f>IF(TRIM('[1]Personale di appoggio'!$F130)=TRIM([1]qualifiche!$E$2),[1]qualifiche!$D$2,
IF(TRIM('[1]Personale di appoggio'!$F130)=TRIM([1]qualifiche!$E$3),[1]qualifiche!$D$3,
IF(TRIM('[1]Personale di appoggio'!$F130)=TRIM([1]qualifiche!$E$4),[1]qualifiche!$D$4,
IF(TRIM('[1]Personale di appoggio'!$F130)=TRIM([1]qualifiche!$E$5),[1]qualifiche!$D$5,
IF(TRIM('[1]Personale di appoggio'!$F130)=TRIM([1]qualifiche!$E$6),[1]qualifiche!$D$6,
IF(TRIM('[1]Personale di appoggio'!$F130)=TRIM([1]qualifiche!$E$7),[1]qualifiche!$D$7,
IF(TRIM('[1]Personale di appoggio'!$F130)=TRIM([1]qualifiche!$E$8),[1]qualifiche!$D$8,
IF(TRIM('[1]Personale di appoggio'!$F130)=TRIM([1]qualifiche!$E$9),[1]qualifiche!$D$9,
IF(TRIM('[1]Personale di appoggio'!$F130)=TRIM([1]qualifiche!$E$10),[1]qualifiche!$D$10,
IF(TRIM('[1]Personale di appoggio'!$F130)=TRIM([1]qualifiche!$E$11),[1]qualifiche!$D$11,""))))))))))</f>
        <v>7</v>
      </c>
      <c r="G129" s="5" t="s">
        <v>712</v>
      </c>
      <c r="H129" s="5" t="s">
        <v>713</v>
      </c>
      <c r="I129" s="6" t="s">
        <v>714</v>
      </c>
      <c r="J129" s="7">
        <f>IF('[1]Personale di appoggio'!J130="X",1,0)</f>
        <v>0</v>
      </c>
      <c r="K129" s="7">
        <f>IF('[1]Personale di appoggio'!K130="X",1,0)</f>
        <v>0</v>
      </c>
      <c r="L129" s="7">
        <f>IF('[1]Personale di appoggio'!L130="X",1,0)</f>
        <v>0</v>
      </c>
      <c r="M129" s="7">
        <f>IF('[1]Personale di appoggio'!M130="X",1,0)</f>
        <v>0</v>
      </c>
      <c r="N129" s="3"/>
      <c r="O129" s="3"/>
      <c r="P129" s="11" t="str">
        <f>IF('[1]Personale di appoggio'!$P130="","",'[1]Personale di appoggio'!$P130)</f>
        <v/>
      </c>
      <c r="Q129" s="4" t="s">
        <v>6</v>
      </c>
      <c r="R129" s="4">
        <f t="shared" si="1"/>
        <v>4</v>
      </c>
    </row>
    <row r="130" spans="1:18" ht="31.5" x14ac:dyDescent="0.45">
      <c r="A130" s="9">
        <v>130</v>
      </c>
      <c r="B130" s="2" t="s">
        <v>715</v>
      </c>
      <c r="C130" s="3" t="s">
        <v>716</v>
      </c>
      <c r="D130" s="3" t="s">
        <v>256</v>
      </c>
      <c r="E130" s="4">
        <f>IFERROR(INDEX([1]uot!$A$2:$A$40, MATCH("*"&amp;'[1]Personale di appoggio'!$D131&amp;"*", [1]uot!$B$2:$B$40, 0)), "Valore non trovato")</f>
        <v>32</v>
      </c>
      <c r="F130" s="4">
        <f>IF(TRIM('[1]Personale di appoggio'!$F131)=TRIM([1]qualifiche!$E$2),[1]qualifiche!$D$2,
IF(TRIM('[1]Personale di appoggio'!$F131)=TRIM([1]qualifiche!$E$3),[1]qualifiche!$D$3,
IF(TRIM('[1]Personale di appoggio'!$F131)=TRIM([1]qualifiche!$E$4),[1]qualifiche!$D$4,
IF(TRIM('[1]Personale di appoggio'!$F131)=TRIM([1]qualifiche!$E$5),[1]qualifiche!$D$5,
IF(TRIM('[1]Personale di appoggio'!$F131)=TRIM([1]qualifiche!$E$6),[1]qualifiche!$D$6,
IF(TRIM('[1]Personale di appoggio'!$F131)=TRIM([1]qualifiche!$E$7),[1]qualifiche!$D$7,
IF(TRIM('[1]Personale di appoggio'!$F131)=TRIM([1]qualifiche!$E$8),[1]qualifiche!$D$8,
IF(TRIM('[1]Personale di appoggio'!$F131)=TRIM([1]qualifiche!$E$9),[1]qualifiche!$D$9,
IF(TRIM('[1]Personale di appoggio'!$F131)=TRIM([1]qualifiche!$E$10),[1]qualifiche!$D$10,
IF(TRIM('[1]Personale di appoggio'!$F131)=TRIM([1]qualifiche!$E$11),[1]qualifiche!$D$11,""))))))))))</f>
        <v>7</v>
      </c>
      <c r="G130" s="5" t="s">
        <v>717</v>
      </c>
      <c r="H130" s="5" t="s">
        <v>718</v>
      </c>
      <c r="I130" s="6" t="s">
        <v>719</v>
      </c>
      <c r="J130" s="7">
        <f>IF('[1]Personale di appoggio'!J131="X",1,0)</f>
        <v>0</v>
      </c>
      <c r="K130" s="7">
        <f>IF('[1]Personale di appoggio'!K131="X",1,0)</f>
        <v>0</v>
      </c>
      <c r="L130" s="7">
        <f>IF('[1]Personale di appoggio'!L131="X",1,0)</f>
        <v>0</v>
      </c>
      <c r="M130" s="7">
        <f>IF('[1]Personale di appoggio'!M131="X",1,0)</f>
        <v>0</v>
      </c>
      <c r="N130" s="3"/>
      <c r="O130" s="3"/>
      <c r="P130" s="11" t="str">
        <f>IF('[1]Personale di appoggio'!$P131="","",'[1]Personale di appoggio'!$P131)</f>
        <v/>
      </c>
      <c r="Q130" s="4" t="s">
        <v>6</v>
      </c>
      <c r="R130" s="4">
        <f t="shared" ref="R130:R193" si="2">IF(COUNTIF($J130:$M130,"1")= 4, 1, IF(COUNTIF($J130:$M130,"1")&gt;0,2,4))</f>
        <v>4</v>
      </c>
    </row>
    <row r="131" spans="1:18" ht="31.5" x14ac:dyDescent="0.45">
      <c r="A131" s="9">
        <v>131</v>
      </c>
      <c r="B131" s="2" t="s">
        <v>720</v>
      </c>
      <c r="C131" s="3" t="s">
        <v>721</v>
      </c>
      <c r="D131" s="3" t="s">
        <v>722</v>
      </c>
      <c r="E131" s="4">
        <f>IFERROR(INDEX([1]uot!$A$2:$A$40, MATCH("*"&amp;'[1]Personale di appoggio'!$D132&amp;"*", [1]uot!$B$2:$B$40, 0)), "Valore non trovato")</f>
        <v>32</v>
      </c>
      <c r="F131" s="4">
        <f>IF(TRIM('[1]Personale di appoggio'!$F132)=TRIM([1]qualifiche!$E$2),[1]qualifiche!$D$2,
IF(TRIM('[1]Personale di appoggio'!$F132)=TRIM([1]qualifiche!$E$3),[1]qualifiche!$D$3,
IF(TRIM('[1]Personale di appoggio'!$F132)=TRIM([1]qualifiche!$E$4),[1]qualifiche!$D$4,
IF(TRIM('[1]Personale di appoggio'!$F132)=TRIM([1]qualifiche!$E$5),[1]qualifiche!$D$5,
IF(TRIM('[1]Personale di appoggio'!$F132)=TRIM([1]qualifiche!$E$6),[1]qualifiche!$D$6,
IF(TRIM('[1]Personale di appoggio'!$F132)=TRIM([1]qualifiche!$E$7),[1]qualifiche!$D$7,
IF(TRIM('[1]Personale di appoggio'!$F132)=TRIM([1]qualifiche!$E$8),[1]qualifiche!$D$8,
IF(TRIM('[1]Personale di appoggio'!$F132)=TRIM([1]qualifiche!$E$9),[1]qualifiche!$D$9,
IF(TRIM('[1]Personale di appoggio'!$F132)=TRIM([1]qualifiche!$E$10),[1]qualifiche!$D$10,
IF(TRIM('[1]Personale di appoggio'!$F132)=TRIM([1]qualifiche!$E$11),[1]qualifiche!$D$11,""))))))))))</f>
        <v>8</v>
      </c>
      <c r="G131" s="5" t="s">
        <v>723</v>
      </c>
      <c r="H131" s="5"/>
      <c r="I131" s="6" t="s">
        <v>724</v>
      </c>
      <c r="J131" s="7">
        <f>IF('[1]Personale di appoggio'!J132="X",1,0)</f>
        <v>0</v>
      </c>
      <c r="K131" s="7">
        <f>IF('[1]Personale di appoggio'!K132="X",1,0)</f>
        <v>0</v>
      </c>
      <c r="L131" s="7">
        <f>IF('[1]Personale di appoggio'!L132="X",1,0)</f>
        <v>0</v>
      </c>
      <c r="M131" s="7">
        <f>IF('[1]Personale di appoggio'!M132="X",1,0)</f>
        <v>0</v>
      </c>
      <c r="N131" s="3"/>
      <c r="O131" s="3"/>
      <c r="P131" s="11" t="str">
        <f>IF('[1]Personale di appoggio'!$P132="","",'[1]Personale di appoggio'!$P132)</f>
        <v/>
      </c>
      <c r="Q131" s="4" t="s">
        <v>6</v>
      </c>
      <c r="R131" s="4">
        <f t="shared" si="2"/>
        <v>4</v>
      </c>
    </row>
    <row r="132" spans="1:18" ht="31.5" x14ac:dyDescent="0.45">
      <c r="A132" s="9">
        <v>132</v>
      </c>
      <c r="B132" s="2" t="s">
        <v>725</v>
      </c>
      <c r="C132" s="3" t="s">
        <v>726</v>
      </c>
      <c r="D132" s="3" t="s">
        <v>727</v>
      </c>
      <c r="E132" s="4">
        <f>IFERROR(INDEX([1]uot!$A$2:$A$40, MATCH("*"&amp;'[1]Personale di appoggio'!$D133&amp;"*", [1]uot!$B$2:$B$40, 0)), "Valore non trovato")</f>
        <v>32</v>
      </c>
      <c r="F132" s="4">
        <f>IF(TRIM('[1]Personale di appoggio'!$F133)=TRIM([1]qualifiche!$E$2),[1]qualifiche!$D$2,
IF(TRIM('[1]Personale di appoggio'!$F133)=TRIM([1]qualifiche!$E$3),[1]qualifiche!$D$3,
IF(TRIM('[1]Personale di appoggio'!$F133)=TRIM([1]qualifiche!$E$4),[1]qualifiche!$D$4,
IF(TRIM('[1]Personale di appoggio'!$F133)=TRIM([1]qualifiche!$E$5),[1]qualifiche!$D$5,
IF(TRIM('[1]Personale di appoggio'!$F133)=TRIM([1]qualifiche!$E$6),[1]qualifiche!$D$6,
IF(TRIM('[1]Personale di appoggio'!$F133)=TRIM([1]qualifiche!$E$7),[1]qualifiche!$D$7,
IF(TRIM('[1]Personale di appoggio'!$F133)=TRIM([1]qualifiche!$E$8),[1]qualifiche!$D$8,
IF(TRIM('[1]Personale di appoggio'!$F133)=TRIM([1]qualifiche!$E$9),[1]qualifiche!$D$9,
IF(TRIM('[1]Personale di appoggio'!$F133)=TRIM([1]qualifiche!$E$10),[1]qualifiche!$D$10,
IF(TRIM('[1]Personale di appoggio'!$F133)=TRIM([1]qualifiche!$E$11),[1]qualifiche!$D$11,""))))))))))</f>
        <v>8</v>
      </c>
      <c r="G132" s="5" t="s">
        <v>728</v>
      </c>
      <c r="H132" s="5" t="s">
        <v>729</v>
      </c>
      <c r="I132" s="6" t="s">
        <v>730</v>
      </c>
      <c r="J132" s="7">
        <f>IF('[1]Personale di appoggio'!J133="X",1,0)</f>
        <v>0</v>
      </c>
      <c r="K132" s="7">
        <f>IF('[1]Personale di appoggio'!K133="X",1,0)</f>
        <v>0</v>
      </c>
      <c r="L132" s="7">
        <f>IF('[1]Personale di appoggio'!L133="X",1,0)</f>
        <v>0</v>
      </c>
      <c r="M132" s="7">
        <f>IF('[1]Personale di appoggio'!M133="X",1,0)</f>
        <v>0</v>
      </c>
      <c r="N132" s="3"/>
      <c r="O132" s="3"/>
      <c r="P132" s="11" t="str">
        <f>IF('[1]Personale di appoggio'!$P133="","",'[1]Personale di appoggio'!$P133)</f>
        <v/>
      </c>
      <c r="Q132" s="4" t="s">
        <v>6</v>
      </c>
      <c r="R132" s="4">
        <f t="shared" si="2"/>
        <v>4</v>
      </c>
    </row>
    <row r="133" spans="1:18" ht="283.5" x14ac:dyDescent="0.45">
      <c r="A133" s="9">
        <v>133</v>
      </c>
      <c r="B133" s="2" t="s">
        <v>731</v>
      </c>
      <c r="C133" s="3" t="s">
        <v>732</v>
      </c>
      <c r="D133" s="3" t="s">
        <v>733</v>
      </c>
      <c r="E133" s="4">
        <f>IFERROR(INDEX([1]uot!$A$2:$A$40, MATCH("*"&amp;'[1]Personale di appoggio'!$D134&amp;"*", [1]uot!$B$2:$B$40, 0)), "Valore non trovato")</f>
        <v>7</v>
      </c>
      <c r="F133" s="4">
        <f>IF(TRIM('[1]Personale di appoggio'!$F134)=TRIM([1]qualifiche!$E$2),[1]qualifiche!$D$2,
IF(TRIM('[1]Personale di appoggio'!$F134)=TRIM([1]qualifiche!$E$3),[1]qualifiche!$D$3,
IF(TRIM('[1]Personale di appoggio'!$F134)=TRIM([1]qualifiche!$E$4),[1]qualifiche!$D$4,
IF(TRIM('[1]Personale di appoggio'!$F134)=TRIM([1]qualifiche!$E$5),[1]qualifiche!$D$5,
IF(TRIM('[1]Personale di appoggio'!$F134)=TRIM([1]qualifiche!$E$6),[1]qualifiche!$D$6,
IF(TRIM('[1]Personale di appoggio'!$F134)=TRIM([1]qualifiche!$E$7),[1]qualifiche!$D$7,
IF(TRIM('[1]Personale di appoggio'!$F134)=TRIM([1]qualifiche!$E$8),[1]qualifiche!$D$8,
IF(TRIM('[1]Personale di appoggio'!$F134)=TRIM([1]qualifiche!$E$9),[1]qualifiche!$D$9,
IF(TRIM('[1]Personale di appoggio'!$F134)=TRIM([1]qualifiche!$E$10),[1]qualifiche!$D$10,
IF(TRIM('[1]Personale di appoggio'!$F134)=TRIM([1]qualifiche!$E$11),[1]qualifiche!$D$11,""))))))))))</f>
        <v>1</v>
      </c>
      <c r="G133" s="5" t="s">
        <v>734</v>
      </c>
      <c r="H133" s="5" t="s">
        <v>735</v>
      </c>
      <c r="I133" s="6" t="s">
        <v>736</v>
      </c>
      <c r="J133" s="7">
        <f>IF('[1]Personale di appoggio'!J134="X",1,0)</f>
        <v>1</v>
      </c>
      <c r="K133" s="7">
        <f>IF('[1]Personale di appoggio'!K134="X",1,0)</f>
        <v>0</v>
      </c>
      <c r="L133" s="7">
        <f>IF('[1]Personale di appoggio'!L134="X",1,0)</f>
        <v>0</v>
      </c>
      <c r="M133" s="7">
        <f>IF('[1]Personale di appoggio'!M134="X",1,0)</f>
        <v>1</v>
      </c>
      <c r="N133" s="3"/>
      <c r="O133" s="3"/>
      <c r="P133" s="11" t="str">
        <f>IF('[1]Personale di appoggio'!$P134="","",'[1]Personale di appoggio'!$P134)</f>
        <v>Il Direttore comunica che le competenze indicate per il personale in forza alla UOT sono competenze utilizzate principalmente per…</v>
      </c>
      <c r="Q133" s="4" t="s">
        <v>6</v>
      </c>
      <c r="R133" s="4">
        <f t="shared" si="2"/>
        <v>2</v>
      </c>
    </row>
    <row r="134" spans="1:18" ht="31.5" x14ac:dyDescent="0.45">
      <c r="A134" s="9">
        <v>134</v>
      </c>
      <c r="B134" s="2" t="s">
        <v>737</v>
      </c>
      <c r="C134" s="3" t="s">
        <v>738</v>
      </c>
      <c r="D134" s="3" t="s">
        <v>739</v>
      </c>
      <c r="E134" s="4">
        <f>IFERROR(INDEX([1]uot!$A$2:$A$40, MATCH("*"&amp;'[1]Personale di appoggio'!$D135&amp;"*", [1]uot!$B$2:$B$40, 0)), "Valore non trovato")</f>
        <v>7</v>
      </c>
      <c r="F134" s="4">
        <f>IF(TRIM('[1]Personale di appoggio'!$F135)=TRIM([1]qualifiche!$E$2),[1]qualifiche!$D$2,
IF(TRIM('[1]Personale di appoggio'!$F135)=TRIM([1]qualifiche!$E$3),[1]qualifiche!$D$3,
IF(TRIM('[1]Personale di appoggio'!$F135)=TRIM([1]qualifiche!$E$4),[1]qualifiche!$D$4,
IF(TRIM('[1]Personale di appoggio'!$F135)=TRIM([1]qualifiche!$E$5),[1]qualifiche!$D$5,
IF(TRIM('[1]Personale di appoggio'!$F135)=TRIM([1]qualifiche!$E$6),[1]qualifiche!$D$6,
IF(TRIM('[1]Personale di appoggio'!$F135)=TRIM([1]qualifiche!$E$7),[1]qualifiche!$D$7,
IF(TRIM('[1]Personale di appoggio'!$F135)=TRIM([1]qualifiche!$E$8),[1]qualifiche!$D$8,
IF(TRIM('[1]Personale di appoggio'!$F135)=TRIM([1]qualifiche!$E$9),[1]qualifiche!$D$9,
IF(TRIM('[1]Personale di appoggio'!$F135)=TRIM([1]qualifiche!$E$10),[1]qualifiche!$D$10,
IF(TRIM('[1]Personale di appoggio'!$F135)=TRIM([1]qualifiche!$E$11),[1]qualifiche!$D$11,""))))))))))</f>
        <v>2</v>
      </c>
      <c r="G134" s="5" t="s">
        <v>740</v>
      </c>
      <c r="H134" s="5" t="s">
        <v>741</v>
      </c>
      <c r="I134" s="8" t="s">
        <v>742</v>
      </c>
      <c r="J134" s="7">
        <f>IF('[1]Personale di appoggio'!J135="X",1,0)</f>
        <v>1</v>
      </c>
      <c r="K134" s="7">
        <f>IF('[1]Personale di appoggio'!K135="X",1,0)</f>
        <v>1</v>
      </c>
      <c r="L134" s="7">
        <f>IF('[1]Personale di appoggio'!L135="X",1,0)</f>
        <v>0</v>
      </c>
      <c r="M134" s="7">
        <f>IF('[1]Personale di appoggio'!M135="X",1,0)</f>
        <v>0</v>
      </c>
      <c r="N134" s="3"/>
      <c r="O134" s="3"/>
      <c r="P134" s="11" t="str">
        <f>IF('[1]Personale di appoggio'!$P135="","",'[1]Personale di appoggio'!$P135)</f>
        <v/>
      </c>
      <c r="Q134" s="4" t="s">
        <v>6</v>
      </c>
      <c r="R134" s="4">
        <f t="shared" si="2"/>
        <v>2</v>
      </c>
    </row>
    <row r="135" spans="1:18" ht="47.25" x14ac:dyDescent="0.45">
      <c r="A135" s="9">
        <v>135</v>
      </c>
      <c r="B135" s="2" t="s">
        <v>743</v>
      </c>
      <c r="C135" s="3" t="s">
        <v>744</v>
      </c>
      <c r="D135" s="3" t="s">
        <v>745</v>
      </c>
      <c r="E135" s="4">
        <f>IFERROR(INDEX([1]uot!$A$2:$A$40, MATCH("*"&amp;'[1]Personale di appoggio'!$D136&amp;"*", [1]uot!$B$2:$B$40, 0)), "Valore non trovato")</f>
        <v>7</v>
      </c>
      <c r="F135" s="4">
        <f>IF(TRIM('[1]Personale di appoggio'!$F136)=TRIM([1]qualifiche!$E$2),[1]qualifiche!$D$2,
IF(TRIM('[1]Personale di appoggio'!$F136)=TRIM([1]qualifiche!$E$3),[1]qualifiche!$D$3,
IF(TRIM('[1]Personale di appoggio'!$F136)=TRIM([1]qualifiche!$E$4),[1]qualifiche!$D$4,
IF(TRIM('[1]Personale di appoggio'!$F136)=TRIM([1]qualifiche!$E$5),[1]qualifiche!$D$5,
IF(TRIM('[1]Personale di appoggio'!$F136)=TRIM([1]qualifiche!$E$6),[1]qualifiche!$D$6,
IF(TRIM('[1]Personale di appoggio'!$F136)=TRIM([1]qualifiche!$E$7),[1]qualifiche!$D$7,
IF(TRIM('[1]Personale di appoggio'!$F136)=TRIM([1]qualifiche!$E$8),[1]qualifiche!$D$8,
IF(TRIM('[1]Personale di appoggio'!$F136)=TRIM([1]qualifiche!$E$9),[1]qualifiche!$D$9,
IF(TRIM('[1]Personale di appoggio'!$F136)=TRIM([1]qualifiche!$E$10),[1]qualifiche!$D$10,
IF(TRIM('[1]Personale di appoggio'!$F136)=TRIM([1]qualifiche!$E$11),[1]qualifiche!$D$11,""))))))))))</f>
        <v>5</v>
      </c>
      <c r="G135" s="5" t="s">
        <v>746</v>
      </c>
      <c r="H135" s="5" t="s">
        <v>747</v>
      </c>
      <c r="I135" s="8" t="s">
        <v>748</v>
      </c>
      <c r="J135" s="7">
        <f>IF('[1]Personale di appoggio'!J136="X",1,0)</f>
        <v>1</v>
      </c>
      <c r="K135" s="7">
        <f>IF('[1]Personale di appoggio'!K136="X",1,0)</f>
        <v>1</v>
      </c>
      <c r="L135" s="7">
        <f>IF('[1]Personale di appoggio'!L136="X",1,0)</f>
        <v>1</v>
      </c>
      <c r="M135" s="7">
        <f>IF('[1]Personale di appoggio'!M136="X",1,0)</f>
        <v>0</v>
      </c>
      <c r="N135" s="3"/>
      <c r="O135" s="3"/>
      <c r="P135" s="11" t="str">
        <f>IF('[1]Personale di appoggio'!$P136="","",'[1]Personale di appoggio'!$P136)</f>
        <v/>
      </c>
      <c r="Q135" s="4" t="s">
        <v>6</v>
      </c>
      <c r="R135" s="4">
        <f t="shared" si="2"/>
        <v>2</v>
      </c>
    </row>
    <row r="136" spans="1:18" ht="47.25" x14ac:dyDescent="0.45">
      <c r="A136" s="9">
        <v>136</v>
      </c>
      <c r="B136" s="2" t="s">
        <v>749</v>
      </c>
      <c r="C136" s="3" t="s">
        <v>750</v>
      </c>
      <c r="D136" s="3" t="s">
        <v>751</v>
      </c>
      <c r="E136" s="4">
        <f>IFERROR(INDEX([1]uot!$A$2:$A$40, MATCH("*"&amp;'[1]Personale di appoggio'!$D137&amp;"*", [1]uot!$B$2:$B$40, 0)), "Valore non trovato")</f>
        <v>7</v>
      </c>
      <c r="F136" s="4">
        <f>IF(TRIM('[1]Personale di appoggio'!$F137)=TRIM([1]qualifiche!$E$2),[1]qualifiche!$D$2,
IF(TRIM('[1]Personale di appoggio'!$F137)=TRIM([1]qualifiche!$E$3),[1]qualifiche!$D$3,
IF(TRIM('[1]Personale di appoggio'!$F137)=TRIM([1]qualifiche!$E$4),[1]qualifiche!$D$4,
IF(TRIM('[1]Personale di appoggio'!$F137)=TRIM([1]qualifiche!$E$5),[1]qualifiche!$D$5,
IF(TRIM('[1]Personale di appoggio'!$F137)=TRIM([1]qualifiche!$E$6),[1]qualifiche!$D$6,
IF(TRIM('[1]Personale di appoggio'!$F137)=TRIM([1]qualifiche!$E$7),[1]qualifiche!$D$7,
IF(TRIM('[1]Personale di appoggio'!$F137)=TRIM([1]qualifiche!$E$8),[1]qualifiche!$D$8,
IF(TRIM('[1]Personale di appoggio'!$F137)=TRIM([1]qualifiche!$E$9),[1]qualifiche!$D$9,
IF(TRIM('[1]Personale di appoggio'!$F137)=TRIM([1]qualifiche!$E$10),[1]qualifiche!$D$10,
IF(TRIM('[1]Personale di appoggio'!$F137)=TRIM([1]qualifiche!$E$11),[1]qualifiche!$D$11,""))))))))))</f>
        <v>7</v>
      </c>
      <c r="G136" s="5" t="s">
        <v>752</v>
      </c>
      <c r="H136" s="5" t="s">
        <v>753</v>
      </c>
      <c r="I136" s="8" t="s">
        <v>754</v>
      </c>
      <c r="J136" s="7">
        <f>IF('[1]Personale di appoggio'!J137="X",1,0)</f>
        <v>0</v>
      </c>
      <c r="K136" s="7">
        <f>IF('[1]Personale di appoggio'!K137="X",1,0)</f>
        <v>0</v>
      </c>
      <c r="L136" s="7">
        <f>IF('[1]Personale di appoggio'!L137="X",1,0)</f>
        <v>0</v>
      </c>
      <c r="M136" s="7">
        <f>IF('[1]Personale di appoggio'!M137="X",1,0)</f>
        <v>0</v>
      </c>
      <c r="N136" s="3"/>
      <c r="O136" s="3"/>
      <c r="P136" s="11" t="str">
        <f>IF('[1]Personale di appoggio'!$P137="","",'[1]Personale di appoggio'!$P137)</f>
        <v/>
      </c>
      <c r="Q136" s="4" t="s">
        <v>6</v>
      </c>
      <c r="R136" s="4">
        <f t="shared" si="2"/>
        <v>4</v>
      </c>
    </row>
    <row r="137" spans="1:18" ht="31.5" x14ac:dyDescent="0.45">
      <c r="A137" s="9">
        <v>137</v>
      </c>
      <c r="B137" s="2" t="s">
        <v>755</v>
      </c>
      <c r="C137" s="3" t="s">
        <v>756</v>
      </c>
      <c r="D137" s="3" t="s">
        <v>757</v>
      </c>
      <c r="E137" s="4">
        <f>IFERROR(INDEX([1]uot!$A$2:$A$40, MATCH("*"&amp;'[1]Personale di appoggio'!$D138&amp;"*", [1]uot!$B$2:$B$40, 0)), "Valore non trovato")</f>
        <v>7</v>
      </c>
      <c r="F137" s="4">
        <f>IF(TRIM('[1]Personale di appoggio'!$F138)=TRIM([1]qualifiche!$E$2),[1]qualifiche!$D$2,
IF(TRIM('[1]Personale di appoggio'!$F138)=TRIM([1]qualifiche!$E$3),[1]qualifiche!$D$3,
IF(TRIM('[1]Personale di appoggio'!$F138)=TRIM([1]qualifiche!$E$4),[1]qualifiche!$D$4,
IF(TRIM('[1]Personale di appoggio'!$F138)=TRIM([1]qualifiche!$E$5),[1]qualifiche!$D$5,
IF(TRIM('[1]Personale di appoggio'!$F138)=TRIM([1]qualifiche!$E$6),[1]qualifiche!$D$6,
IF(TRIM('[1]Personale di appoggio'!$F138)=TRIM([1]qualifiche!$E$7),[1]qualifiche!$D$7,
IF(TRIM('[1]Personale di appoggio'!$F138)=TRIM([1]qualifiche!$E$8),[1]qualifiche!$D$8,
IF(TRIM('[1]Personale di appoggio'!$F138)=TRIM([1]qualifiche!$E$9),[1]qualifiche!$D$9,
IF(TRIM('[1]Personale di appoggio'!$F138)=TRIM([1]qualifiche!$E$10),[1]qualifiche!$D$10,
IF(TRIM('[1]Personale di appoggio'!$F138)=TRIM([1]qualifiche!$E$11),[1]qualifiche!$D$11,""))))))))))</f>
        <v>7</v>
      </c>
      <c r="G137" s="5" t="s">
        <v>758</v>
      </c>
      <c r="H137" s="5" t="s">
        <v>759</v>
      </c>
      <c r="I137" s="8" t="s">
        <v>760</v>
      </c>
      <c r="J137" s="7">
        <f>IF('[1]Personale di appoggio'!J138="X",1,0)</f>
        <v>0</v>
      </c>
      <c r="K137" s="7">
        <f>IF('[1]Personale di appoggio'!K138="X",1,0)</f>
        <v>0</v>
      </c>
      <c r="L137" s="7">
        <f>IF('[1]Personale di appoggio'!L138="X",1,0)</f>
        <v>0</v>
      </c>
      <c r="M137" s="7">
        <f>IF('[1]Personale di appoggio'!M138="X",1,0)</f>
        <v>0</v>
      </c>
      <c r="N137" s="3"/>
      <c r="O137" s="3"/>
      <c r="P137" s="11" t="str">
        <f>IF('[1]Personale di appoggio'!$P138="","",'[1]Personale di appoggio'!$P138)</f>
        <v/>
      </c>
      <c r="Q137" s="4" t="s">
        <v>6</v>
      </c>
      <c r="R137" s="4">
        <f t="shared" si="2"/>
        <v>4</v>
      </c>
    </row>
    <row r="138" spans="1:18" ht="31.5" x14ac:dyDescent="0.45">
      <c r="A138" s="9">
        <v>138</v>
      </c>
      <c r="B138" s="2" t="s">
        <v>0</v>
      </c>
      <c r="C138" s="3" t="s">
        <v>1</v>
      </c>
      <c r="D138" s="3" t="s">
        <v>2</v>
      </c>
      <c r="E138" s="4">
        <f>IFERROR(INDEX([1]uot!$A$2:$A$40, MATCH("*"&amp;'[1]Personale di appoggio'!$D139&amp;"*", [1]uot!$B$2:$B$40, 0)), "Valore non trovato")</f>
        <v>7</v>
      </c>
      <c r="F138" s="4">
        <f>IF(TRIM('[1]Personale di appoggio'!$F139)=TRIM([1]qualifiche!$E$2),[1]qualifiche!$D$2,
IF(TRIM('[1]Personale di appoggio'!$F139)=TRIM([1]qualifiche!$E$3),[1]qualifiche!$D$3,
IF(TRIM('[1]Personale di appoggio'!$F139)=TRIM([1]qualifiche!$E$4),[1]qualifiche!$D$4,
IF(TRIM('[1]Personale di appoggio'!$F139)=TRIM([1]qualifiche!$E$5),[1]qualifiche!$D$5,
IF(TRIM('[1]Personale di appoggio'!$F139)=TRIM([1]qualifiche!$E$6),[1]qualifiche!$D$6,
IF(TRIM('[1]Personale di appoggio'!$F139)=TRIM([1]qualifiche!$E$7),[1]qualifiche!$D$7,
IF(TRIM('[1]Personale di appoggio'!$F139)=TRIM([1]qualifiche!$E$8),[1]qualifiche!$D$8,
IF(TRIM('[1]Personale di appoggio'!$F139)=TRIM([1]qualifiche!$E$9),[1]qualifiche!$D$9,
IF(TRIM('[1]Personale di appoggio'!$F139)=TRIM([1]qualifiche!$E$10),[1]qualifiche!$D$10,
IF(TRIM('[1]Personale di appoggio'!$F139)=TRIM([1]qualifiche!$E$11),[1]qualifiche!$D$11,""))))))))))</f>
        <v>7</v>
      </c>
      <c r="G138" s="5" t="s">
        <v>3</v>
      </c>
      <c r="H138" s="5" t="s">
        <v>4</v>
      </c>
      <c r="I138" s="6" t="s">
        <v>5</v>
      </c>
      <c r="J138" s="7">
        <f>IF('[1]Personale di appoggio'!J139="X",1,0)</f>
        <v>0</v>
      </c>
      <c r="K138" s="7">
        <f>IF('[1]Personale di appoggio'!K139="X",1,0)</f>
        <v>0</v>
      </c>
      <c r="L138" s="7">
        <f>IF('[1]Personale di appoggio'!L139="X",1,0)</f>
        <v>0</v>
      </c>
      <c r="M138" s="7">
        <f>IF('[1]Personale di appoggio'!M139="X",1,0)</f>
        <v>0</v>
      </c>
      <c r="N138" s="3"/>
      <c r="O138" s="3"/>
      <c r="P138" s="11" t="str">
        <f>IF('[1]Personale di appoggio'!$P139="","",'[1]Personale di appoggio'!$P139)</f>
        <v/>
      </c>
      <c r="Q138" s="4" t="s">
        <v>6</v>
      </c>
      <c r="R138" s="4">
        <f t="shared" si="2"/>
        <v>4</v>
      </c>
    </row>
    <row r="139" spans="1:18" ht="31.5" x14ac:dyDescent="0.45">
      <c r="A139" s="9">
        <v>139</v>
      </c>
      <c r="B139" s="2" t="s">
        <v>761</v>
      </c>
      <c r="C139" s="3" t="s">
        <v>762</v>
      </c>
      <c r="D139" s="3" t="s">
        <v>763</v>
      </c>
      <c r="E139" s="4">
        <f>IFERROR(INDEX([1]uot!$A$2:$A$40, MATCH("*"&amp;'[1]Personale di appoggio'!$D140&amp;"*", [1]uot!$B$2:$B$40, 0)), "Valore non trovato")</f>
        <v>11</v>
      </c>
      <c r="F139" s="4">
        <f>IF(TRIM('[1]Personale di appoggio'!$F140)=TRIM([1]qualifiche!$E$2),[1]qualifiche!$D$2,
IF(TRIM('[1]Personale di appoggio'!$F140)=TRIM([1]qualifiche!$E$3),[1]qualifiche!$D$3,
IF(TRIM('[1]Personale di appoggio'!$F140)=TRIM([1]qualifiche!$E$4),[1]qualifiche!$D$4,
IF(TRIM('[1]Personale di appoggio'!$F140)=TRIM([1]qualifiche!$E$5),[1]qualifiche!$D$5,
IF(TRIM('[1]Personale di appoggio'!$F140)=TRIM([1]qualifiche!$E$6),[1]qualifiche!$D$6,
IF(TRIM('[1]Personale di appoggio'!$F140)=TRIM([1]qualifiche!$E$7),[1]qualifiche!$D$7,
IF(TRIM('[1]Personale di appoggio'!$F140)=TRIM([1]qualifiche!$E$8),[1]qualifiche!$D$8,
IF(TRIM('[1]Personale di appoggio'!$F140)=TRIM([1]qualifiche!$E$9),[1]qualifiche!$D$9,
IF(TRIM('[1]Personale di appoggio'!$F140)=TRIM([1]qualifiche!$E$10),[1]qualifiche!$D$10,
IF(TRIM('[1]Personale di appoggio'!$F140)=TRIM([1]qualifiche!$E$11),[1]qualifiche!$D$11,""))))))))))</f>
        <v>1</v>
      </c>
      <c r="G139" s="5" t="s">
        <v>764</v>
      </c>
      <c r="H139" s="5" t="s">
        <v>765</v>
      </c>
      <c r="I139" s="6" t="s">
        <v>766</v>
      </c>
      <c r="J139" s="7">
        <f>IF('[1]Personale di appoggio'!J140="X",1,0)</f>
        <v>0</v>
      </c>
      <c r="K139" s="7">
        <f>IF('[1]Personale di appoggio'!K140="X",1,0)</f>
        <v>0</v>
      </c>
      <c r="L139" s="7">
        <f>IF('[1]Personale di appoggio'!L140="X",1,0)</f>
        <v>0</v>
      </c>
      <c r="M139" s="7">
        <f>IF('[1]Personale di appoggio'!M140="X",1,0)</f>
        <v>0</v>
      </c>
      <c r="N139" s="3"/>
      <c r="O139" s="3"/>
      <c r="P139" s="11" t="str">
        <f>IF('[1]Personale di appoggio'!$P140="","",'[1]Personale di appoggio'!$P140)</f>
        <v/>
      </c>
      <c r="Q139" s="4" t="s">
        <v>6</v>
      </c>
      <c r="R139" s="4">
        <f t="shared" si="2"/>
        <v>4</v>
      </c>
    </row>
    <row r="140" spans="1:18" ht="31.5" x14ac:dyDescent="0.45">
      <c r="A140" s="9">
        <v>140</v>
      </c>
      <c r="B140" s="2" t="s">
        <v>767</v>
      </c>
      <c r="C140" s="3" t="s">
        <v>768</v>
      </c>
      <c r="D140" s="3" t="s">
        <v>769</v>
      </c>
      <c r="E140" s="4">
        <f>IFERROR(INDEX([1]uot!$A$2:$A$40, MATCH("*"&amp;'[1]Personale di appoggio'!$D141&amp;"*", [1]uot!$B$2:$B$40, 0)), "Valore non trovato")</f>
        <v>11</v>
      </c>
      <c r="F140" s="4">
        <f>IF(TRIM('[1]Personale di appoggio'!$F141)=TRIM([1]qualifiche!$E$2),[1]qualifiche!$D$2,
IF(TRIM('[1]Personale di appoggio'!$F141)=TRIM([1]qualifiche!$E$3),[1]qualifiche!$D$3,
IF(TRIM('[1]Personale di appoggio'!$F141)=TRIM([1]qualifiche!$E$4),[1]qualifiche!$D$4,
IF(TRIM('[1]Personale di appoggio'!$F141)=TRIM([1]qualifiche!$E$5),[1]qualifiche!$D$5,
IF(TRIM('[1]Personale di appoggio'!$F141)=TRIM([1]qualifiche!$E$6),[1]qualifiche!$D$6,
IF(TRIM('[1]Personale di appoggio'!$F141)=TRIM([1]qualifiche!$E$7),[1]qualifiche!$D$7,
IF(TRIM('[1]Personale di appoggio'!$F141)=TRIM([1]qualifiche!$E$8),[1]qualifiche!$D$8,
IF(TRIM('[1]Personale di appoggio'!$F141)=TRIM([1]qualifiche!$E$9),[1]qualifiche!$D$9,
IF(TRIM('[1]Personale di appoggio'!$F141)=TRIM([1]qualifiche!$E$10),[1]qualifiche!$D$10,
IF(TRIM('[1]Personale di appoggio'!$F141)=TRIM([1]qualifiche!$E$11),[1]qualifiche!$D$11,""))))))))))</f>
        <v>2</v>
      </c>
      <c r="G140" s="5" t="s">
        <v>770</v>
      </c>
      <c r="H140" s="5" t="s">
        <v>771</v>
      </c>
      <c r="I140" s="6" t="s">
        <v>772</v>
      </c>
      <c r="J140" s="7">
        <f>IF('[1]Personale di appoggio'!J141="X",1,0)</f>
        <v>1</v>
      </c>
      <c r="K140" s="7">
        <f>IF('[1]Personale di appoggio'!K141="X",1,0)</f>
        <v>1</v>
      </c>
      <c r="L140" s="7">
        <f>IF('[1]Personale di appoggio'!L141="X",1,0)</f>
        <v>1</v>
      </c>
      <c r="M140" s="7">
        <f>IF('[1]Personale di appoggio'!M141="X",1,0)</f>
        <v>0</v>
      </c>
      <c r="N140" s="3"/>
      <c r="O140" s="3"/>
      <c r="P140" s="11" t="str">
        <f>IF('[1]Personale di appoggio'!$P141="","",'[1]Personale di appoggio'!$P141)</f>
        <v/>
      </c>
      <c r="Q140" s="4" t="s">
        <v>6</v>
      </c>
      <c r="R140" s="4">
        <f t="shared" si="2"/>
        <v>2</v>
      </c>
    </row>
    <row r="141" spans="1:18" ht="63" x14ac:dyDescent="0.45">
      <c r="A141" s="9">
        <v>141</v>
      </c>
      <c r="B141" s="2" t="s">
        <v>773</v>
      </c>
      <c r="C141" s="3" t="s">
        <v>774</v>
      </c>
      <c r="D141" s="3" t="s">
        <v>775</v>
      </c>
      <c r="E141" s="4">
        <f>IFERROR(INDEX([1]uot!$A$2:$A$40, MATCH("*"&amp;'[1]Personale di appoggio'!$D142&amp;"*", [1]uot!$B$2:$B$40, 0)), "Valore non trovato")</f>
        <v>11</v>
      </c>
      <c r="F141" s="4">
        <f>IF(TRIM('[1]Personale di appoggio'!$F142)=TRIM([1]qualifiche!$E$2),[1]qualifiche!$D$2,
IF(TRIM('[1]Personale di appoggio'!$F142)=TRIM([1]qualifiche!$E$3),[1]qualifiche!$D$3,
IF(TRIM('[1]Personale di appoggio'!$F142)=TRIM([1]qualifiche!$E$4),[1]qualifiche!$D$4,
IF(TRIM('[1]Personale di appoggio'!$F142)=TRIM([1]qualifiche!$E$5),[1]qualifiche!$D$5,
IF(TRIM('[1]Personale di appoggio'!$F142)=TRIM([1]qualifiche!$E$6),[1]qualifiche!$D$6,
IF(TRIM('[1]Personale di appoggio'!$F142)=TRIM([1]qualifiche!$E$7),[1]qualifiche!$D$7,
IF(TRIM('[1]Personale di appoggio'!$F142)=TRIM([1]qualifiche!$E$8),[1]qualifiche!$D$8,
IF(TRIM('[1]Personale di appoggio'!$F142)=TRIM([1]qualifiche!$E$9),[1]qualifiche!$D$9,
IF(TRIM('[1]Personale di appoggio'!$F142)=TRIM([1]qualifiche!$E$10),[1]qualifiche!$D$10,
IF(TRIM('[1]Personale di appoggio'!$F142)=TRIM([1]qualifiche!$E$11),[1]qualifiche!$D$11,""))))))))))</f>
        <v>4</v>
      </c>
      <c r="G141" s="5" t="s">
        <v>776</v>
      </c>
      <c r="H141" s="5" t="s">
        <v>777</v>
      </c>
      <c r="I141" s="6" t="s">
        <v>778</v>
      </c>
      <c r="J141" s="7">
        <f>IF('[1]Personale di appoggio'!J142="X",1,0)</f>
        <v>0</v>
      </c>
      <c r="K141" s="7">
        <f>IF('[1]Personale di appoggio'!K142="X",1,0)</f>
        <v>0</v>
      </c>
      <c r="L141" s="7">
        <f>IF('[1]Personale di appoggio'!L142="X",1,0)</f>
        <v>0</v>
      </c>
      <c r="M141" s="7">
        <f>IF('[1]Personale di appoggio'!M142="X",1,0)</f>
        <v>0</v>
      </c>
      <c r="N141" s="3"/>
      <c r="O141" s="3"/>
      <c r="P141" s="11" t="str">
        <f>IF('[1]Personale di appoggio'!$P142="","",'[1]Personale di appoggio'!$P142)</f>
        <v>in pensione da luglio 2024</v>
      </c>
      <c r="Q141" s="4" t="s">
        <v>6</v>
      </c>
      <c r="R141" s="4">
        <f t="shared" si="2"/>
        <v>4</v>
      </c>
    </row>
    <row r="142" spans="1:18" ht="31.5" x14ac:dyDescent="0.45">
      <c r="A142" s="9">
        <v>142</v>
      </c>
      <c r="B142" s="2" t="s">
        <v>779</v>
      </c>
      <c r="C142" s="3" t="s">
        <v>780</v>
      </c>
      <c r="D142" s="3" t="s">
        <v>711</v>
      </c>
      <c r="E142" s="4">
        <f>IFERROR(INDEX([1]uot!$A$2:$A$40, MATCH("*"&amp;'[1]Personale di appoggio'!$D143&amp;"*", [1]uot!$B$2:$B$40, 0)), "Valore non trovato")</f>
        <v>11</v>
      </c>
      <c r="F142" s="4">
        <f>IF(TRIM('[1]Personale di appoggio'!$F143)=TRIM([1]qualifiche!$E$2),[1]qualifiche!$D$2,
IF(TRIM('[1]Personale di appoggio'!$F143)=TRIM([1]qualifiche!$E$3),[1]qualifiche!$D$3,
IF(TRIM('[1]Personale di appoggio'!$F143)=TRIM([1]qualifiche!$E$4),[1]qualifiche!$D$4,
IF(TRIM('[1]Personale di appoggio'!$F143)=TRIM([1]qualifiche!$E$5),[1]qualifiche!$D$5,
IF(TRIM('[1]Personale di appoggio'!$F143)=TRIM([1]qualifiche!$E$6),[1]qualifiche!$D$6,
IF(TRIM('[1]Personale di appoggio'!$F143)=TRIM([1]qualifiche!$E$7),[1]qualifiche!$D$7,
IF(TRIM('[1]Personale di appoggio'!$F143)=TRIM([1]qualifiche!$E$8),[1]qualifiche!$D$8,
IF(TRIM('[1]Personale di appoggio'!$F143)=TRIM([1]qualifiche!$E$9),[1]qualifiche!$D$9,
IF(TRIM('[1]Personale di appoggio'!$F143)=TRIM([1]qualifiche!$E$10),[1]qualifiche!$D$10,
IF(TRIM('[1]Personale di appoggio'!$F143)=TRIM([1]qualifiche!$E$11),[1]qualifiche!$D$11,""))))))))))</f>
        <v>7</v>
      </c>
      <c r="G142" s="5" t="s">
        <v>781</v>
      </c>
      <c r="H142" s="5" t="s">
        <v>782</v>
      </c>
      <c r="I142" s="6" t="s">
        <v>783</v>
      </c>
      <c r="J142" s="7">
        <f>IF('[1]Personale di appoggio'!J143="X",1,0)</f>
        <v>0</v>
      </c>
      <c r="K142" s="7">
        <f>IF('[1]Personale di appoggio'!K143="X",1,0)</f>
        <v>0</v>
      </c>
      <c r="L142" s="7">
        <f>IF('[1]Personale di appoggio'!L143="X",1,0)</f>
        <v>0</v>
      </c>
      <c r="M142" s="7">
        <f>IF('[1]Personale di appoggio'!M143="X",1,0)</f>
        <v>0</v>
      </c>
      <c r="N142" s="3"/>
      <c r="O142" s="3"/>
      <c r="P142" s="11" t="str">
        <f>IF('[1]Personale di appoggio'!$P143="","",'[1]Personale di appoggio'!$P143)</f>
        <v/>
      </c>
      <c r="Q142" s="4" t="s">
        <v>6</v>
      </c>
      <c r="R142" s="4">
        <f t="shared" si="2"/>
        <v>4</v>
      </c>
    </row>
    <row r="143" spans="1:18" ht="31.5" x14ac:dyDescent="0.45">
      <c r="A143" s="9">
        <v>143</v>
      </c>
      <c r="B143" s="2" t="s">
        <v>784</v>
      </c>
      <c r="C143" s="3" t="s">
        <v>785</v>
      </c>
      <c r="D143" s="3" t="s">
        <v>786</v>
      </c>
      <c r="E143" s="4">
        <f>IFERROR(INDEX([1]uot!$A$2:$A$40, MATCH("*"&amp;'[1]Personale di appoggio'!$D144&amp;"*", [1]uot!$B$2:$B$40, 0)), "Valore non trovato")</f>
        <v>11</v>
      </c>
      <c r="F143" s="4">
        <f>IF(TRIM('[1]Personale di appoggio'!$F144)=TRIM([1]qualifiche!$E$2),[1]qualifiche!$D$2,
IF(TRIM('[1]Personale di appoggio'!$F144)=TRIM([1]qualifiche!$E$3),[1]qualifiche!$D$3,
IF(TRIM('[1]Personale di appoggio'!$F144)=TRIM([1]qualifiche!$E$4),[1]qualifiche!$D$4,
IF(TRIM('[1]Personale di appoggio'!$F144)=TRIM([1]qualifiche!$E$5),[1]qualifiche!$D$5,
IF(TRIM('[1]Personale di appoggio'!$F144)=TRIM([1]qualifiche!$E$6),[1]qualifiche!$D$6,
IF(TRIM('[1]Personale di appoggio'!$F144)=TRIM([1]qualifiche!$E$7),[1]qualifiche!$D$7,
IF(TRIM('[1]Personale di appoggio'!$F144)=TRIM([1]qualifiche!$E$8),[1]qualifiche!$D$8,
IF(TRIM('[1]Personale di appoggio'!$F144)=TRIM([1]qualifiche!$E$9),[1]qualifiche!$D$9,
IF(TRIM('[1]Personale di appoggio'!$F144)=TRIM([1]qualifiche!$E$10),[1]qualifiche!$D$10,
IF(TRIM('[1]Personale di appoggio'!$F144)=TRIM([1]qualifiche!$E$11),[1]qualifiche!$D$11,""))))))))))</f>
        <v>7</v>
      </c>
      <c r="G143" s="5" t="s">
        <v>787</v>
      </c>
      <c r="H143" s="5" t="s">
        <v>788</v>
      </c>
      <c r="I143" s="6" t="s">
        <v>789</v>
      </c>
      <c r="J143" s="7">
        <f>IF('[1]Personale di appoggio'!J144="X",1,0)</f>
        <v>0</v>
      </c>
      <c r="K143" s="7">
        <f>IF('[1]Personale di appoggio'!K144="X",1,0)</f>
        <v>0</v>
      </c>
      <c r="L143" s="7">
        <f>IF('[1]Personale di appoggio'!L144="X",1,0)</f>
        <v>0</v>
      </c>
      <c r="M143" s="7">
        <f>IF('[1]Personale di appoggio'!M144="X",1,0)</f>
        <v>0</v>
      </c>
      <c r="N143" s="3"/>
      <c r="O143" s="3"/>
      <c r="P143" s="11" t="str">
        <f>IF('[1]Personale di appoggio'!$P144="","",'[1]Personale di appoggio'!$P144)</f>
        <v/>
      </c>
      <c r="Q143" s="4" t="s">
        <v>6</v>
      </c>
      <c r="R143" s="4">
        <f t="shared" si="2"/>
        <v>4</v>
      </c>
    </row>
    <row r="144" spans="1:18" ht="31.5" x14ac:dyDescent="0.45">
      <c r="A144" s="9">
        <v>144</v>
      </c>
      <c r="B144" s="2" t="s">
        <v>790</v>
      </c>
      <c r="C144" s="3" t="s">
        <v>791</v>
      </c>
      <c r="D144" s="3" t="s">
        <v>547</v>
      </c>
      <c r="E144" s="4">
        <f>IFERROR(INDEX([1]uot!$A$2:$A$40, MATCH("*"&amp;'[1]Personale di appoggio'!$D145&amp;"*", [1]uot!$B$2:$B$40, 0)), "Valore non trovato")</f>
        <v>11</v>
      </c>
      <c r="F144" s="4">
        <f>IF(TRIM('[1]Personale di appoggio'!$F145)=TRIM([1]qualifiche!$E$2),[1]qualifiche!$D$2,
IF(TRIM('[1]Personale di appoggio'!$F145)=TRIM([1]qualifiche!$E$3),[1]qualifiche!$D$3,
IF(TRIM('[1]Personale di appoggio'!$F145)=TRIM([1]qualifiche!$E$4),[1]qualifiche!$D$4,
IF(TRIM('[1]Personale di appoggio'!$F145)=TRIM([1]qualifiche!$E$5),[1]qualifiche!$D$5,
IF(TRIM('[1]Personale di appoggio'!$F145)=TRIM([1]qualifiche!$E$6),[1]qualifiche!$D$6,
IF(TRIM('[1]Personale di appoggio'!$F145)=TRIM([1]qualifiche!$E$7),[1]qualifiche!$D$7,
IF(TRIM('[1]Personale di appoggio'!$F145)=TRIM([1]qualifiche!$E$8),[1]qualifiche!$D$8,
IF(TRIM('[1]Personale di appoggio'!$F145)=TRIM([1]qualifiche!$E$9),[1]qualifiche!$D$9,
IF(TRIM('[1]Personale di appoggio'!$F145)=TRIM([1]qualifiche!$E$10),[1]qualifiche!$D$10,
IF(TRIM('[1]Personale di appoggio'!$F145)=TRIM([1]qualifiche!$E$11),[1]qualifiche!$D$11,""))))))))))</f>
        <v>7</v>
      </c>
      <c r="G144" s="5" t="s">
        <v>792</v>
      </c>
      <c r="H144" s="5" t="s">
        <v>793</v>
      </c>
      <c r="I144" s="6" t="s">
        <v>794</v>
      </c>
      <c r="J144" s="7">
        <f>IF('[1]Personale di appoggio'!J145="X",1,0)</f>
        <v>0</v>
      </c>
      <c r="K144" s="7">
        <f>IF('[1]Personale di appoggio'!K145="X",1,0)</f>
        <v>0</v>
      </c>
      <c r="L144" s="7">
        <f>IF('[1]Personale di appoggio'!L145="X",1,0)</f>
        <v>0</v>
      </c>
      <c r="M144" s="7">
        <f>IF('[1]Personale di appoggio'!M145="X",1,0)</f>
        <v>0</v>
      </c>
      <c r="N144" s="3"/>
      <c r="O144" s="3"/>
      <c r="P144" s="11" t="str">
        <f>IF('[1]Personale di appoggio'!$P145="","",'[1]Personale di appoggio'!$P145)</f>
        <v/>
      </c>
      <c r="Q144" s="4" t="s">
        <v>6</v>
      </c>
      <c r="R144" s="4">
        <f t="shared" si="2"/>
        <v>4</v>
      </c>
    </row>
    <row r="145" spans="1:18" ht="31.5" x14ac:dyDescent="0.45">
      <c r="A145" s="9">
        <v>145</v>
      </c>
      <c r="B145" s="2" t="s">
        <v>795</v>
      </c>
      <c r="C145" s="3" t="s">
        <v>796</v>
      </c>
      <c r="D145" s="3" t="s">
        <v>256</v>
      </c>
      <c r="E145" s="4">
        <f>IFERROR(INDEX([1]uot!$A$2:$A$40, MATCH("*"&amp;'[1]Personale di appoggio'!$D146&amp;"*", [1]uot!$B$2:$B$40, 0)), "Valore non trovato")</f>
        <v>33</v>
      </c>
      <c r="F145" s="4">
        <f>IF(TRIM('[1]Personale di appoggio'!$F146)=TRIM([1]qualifiche!$E$2),[1]qualifiche!$D$2,
IF(TRIM('[1]Personale di appoggio'!$F146)=TRIM([1]qualifiche!$E$3),[1]qualifiche!$D$3,
IF(TRIM('[1]Personale di appoggio'!$F146)=TRIM([1]qualifiche!$E$4),[1]qualifiche!$D$4,
IF(TRIM('[1]Personale di appoggio'!$F146)=TRIM([1]qualifiche!$E$5),[1]qualifiche!$D$5,
IF(TRIM('[1]Personale di appoggio'!$F146)=TRIM([1]qualifiche!$E$6),[1]qualifiche!$D$6,
IF(TRIM('[1]Personale di appoggio'!$F146)=TRIM([1]qualifiche!$E$7),[1]qualifiche!$D$7,
IF(TRIM('[1]Personale di appoggio'!$F146)=TRIM([1]qualifiche!$E$8),[1]qualifiche!$D$8,
IF(TRIM('[1]Personale di appoggio'!$F146)=TRIM([1]qualifiche!$E$9),[1]qualifiche!$D$9,
IF(TRIM('[1]Personale di appoggio'!$F146)=TRIM([1]qualifiche!$E$10),[1]qualifiche!$D$10,
IF(TRIM('[1]Personale di appoggio'!$F146)=TRIM([1]qualifiche!$E$11),[1]qualifiche!$D$11,""))))))))))</f>
        <v>1</v>
      </c>
      <c r="G145" s="5" t="s">
        <v>797</v>
      </c>
      <c r="H145" s="5" t="s">
        <v>798</v>
      </c>
      <c r="I145" s="6" t="s">
        <v>799</v>
      </c>
      <c r="J145" s="7">
        <f>IF('[1]Personale di appoggio'!J146="X",1,0)</f>
        <v>0</v>
      </c>
      <c r="K145" s="7">
        <f>IF('[1]Personale di appoggio'!K146="X",1,0)</f>
        <v>0</v>
      </c>
      <c r="L145" s="7">
        <f>IF('[1]Personale di appoggio'!L146="X",1,0)</f>
        <v>0</v>
      </c>
      <c r="M145" s="7">
        <f>IF('[1]Personale di appoggio'!M146="X",1,0)</f>
        <v>0</v>
      </c>
      <c r="N145" s="3"/>
      <c r="O145" s="3"/>
      <c r="P145" s="11" t="str">
        <f>IF('[1]Personale di appoggio'!$P146="","",'[1]Personale di appoggio'!$P146)</f>
        <v/>
      </c>
      <c r="Q145" s="4" t="s">
        <v>6</v>
      </c>
      <c r="R145" s="4">
        <f t="shared" si="2"/>
        <v>4</v>
      </c>
    </row>
    <row r="146" spans="1:18" ht="31.5" x14ac:dyDescent="0.45">
      <c r="A146" s="9">
        <v>146</v>
      </c>
      <c r="B146" s="2" t="s">
        <v>800</v>
      </c>
      <c r="C146" s="3" t="s">
        <v>801</v>
      </c>
      <c r="D146" s="3" t="s">
        <v>802</v>
      </c>
      <c r="E146" s="4">
        <f>IFERROR(INDEX([1]uot!$A$2:$A$40, MATCH("*"&amp;'[1]Personale di appoggio'!$D147&amp;"*", [1]uot!$B$2:$B$40, 0)), "Valore non trovato")</f>
        <v>33</v>
      </c>
      <c r="F146" s="4">
        <f>IF(TRIM('[1]Personale di appoggio'!$F147)=TRIM([1]qualifiche!$E$2),[1]qualifiche!$D$2,
IF(TRIM('[1]Personale di appoggio'!$F147)=TRIM([1]qualifiche!$E$3),[1]qualifiche!$D$3,
IF(TRIM('[1]Personale di appoggio'!$F147)=TRIM([1]qualifiche!$E$4),[1]qualifiche!$D$4,
IF(TRIM('[1]Personale di appoggio'!$F147)=TRIM([1]qualifiche!$E$5),[1]qualifiche!$D$5,
IF(TRIM('[1]Personale di appoggio'!$F147)=TRIM([1]qualifiche!$E$6),[1]qualifiche!$D$6,
IF(TRIM('[1]Personale di appoggio'!$F147)=TRIM([1]qualifiche!$E$7),[1]qualifiche!$D$7,
IF(TRIM('[1]Personale di appoggio'!$F147)=TRIM([1]qualifiche!$E$8),[1]qualifiche!$D$8,
IF(TRIM('[1]Personale di appoggio'!$F147)=TRIM([1]qualifiche!$E$9),[1]qualifiche!$D$9,
IF(TRIM('[1]Personale di appoggio'!$F147)=TRIM([1]qualifiche!$E$10),[1]qualifiche!$D$10,
IF(TRIM('[1]Personale di appoggio'!$F147)=TRIM([1]qualifiche!$E$11),[1]qualifiche!$D$11,""))))))))))</f>
        <v>2</v>
      </c>
      <c r="G146" s="5" t="s">
        <v>803</v>
      </c>
      <c r="H146" s="5" t="s">
        <v>804</v>
      </c>
      <c r="I146" s="6" t="s">
        <v>805</v>
      </c>
      <c r="J146" s="7">
        <f>IF('[1]Personale di appoggio'!J147="X",1,0)</f>
        <v>0</v>
      </c>
      <c r="K146" s="7">
        <f>IF('[1]Personale di appoggio'!K147="X",1,0)</f>
        <v>0</v>
      </c>
      <c r="L146" s="7">
        <f>IF('[1]Personale di appoggio'!L147="X",1,0)</f>
        <v>0</v>
      </c>
      <c r="M146" s="7">
        <f>IF('[1]Personale di appoggio'!M147="X",1,0)</f>
        <v>0</v>
      </c>
      <c r="N146" s="3"/>
      <c r="O146" s="3"/>
      <c r="P146" s="11" t="str">
        <f>IF('[1]Personale di appoggio'!$P147="","",'[1]Personale di appoggio'!$P147)</f>
        <v/>
      </c>
      <c r="Q146" s="4" t="s">
        <v>6</v>
      </c>
      <c r="R146" s="4">
        <f t="shared" si="2"/>
        <v>4</v>
      </c>
    </row>
    <row r="147" spans="1:18" ht="31.5" x14ac:dyDescent="0.45">
      <c r="A147" s="9">
        <v>147</v>
      </c>
      <c r="B147" s="2" t="s">
        <v>806</v>
      </c>
      <c r="C147" s="3" t="s">
        <v>807</v>
      </c>
      <c r="D147" s="3" t="s">
        <v>324</v>
      </c>
      <c r="E147" s="4">
        <f>IFERROR(INDEX([1]uot!$A$2:$A$40, MATCH("*"&amp;'[1]Personale di appoggio'!$D148&amp;"*", [1]uot!$B$2:$B$40, 0)), "Valore non trovato")</f>
        <v>33</v>
      </c>
      <c r="F147" s="4">
        <f>IF(TRIM('[1]Personale di appoggio'!$F148)=TRIM([1]qualifiche!$E$2),[1]qualifiche!$D$2,
IF(TRIM('[1]Personale di appoggio'!$F148)=TRIM([1]qualifiche!$E$3),[1]qualifiche!$D$3,
IF(TRIM('[1]Personale di appoggio'!$F148)=TRIM([1]qualifiche!$E$4),[1]qualifiche!$D$4,
IF(TRIM('[1]Personale di appoggio'!$F148)=TRIM([1]qualifiche!$E$5),[1]qualifiche!$D$5,
IF(TRIM('[1]Personale di appoggio'!$F148)=TRIM([1]qualifiche!$E$6),[1]qualifiche!$D$6,
IF(TRIM('[1]Personale di appoggio'!$F148)=TRIM([1]qualifiche!$E$7),[1]qualifiche!$D$7,
IF(TRIM('[1]Personale di appoggio'!$F148)=TRIM([1]qualifiche!$E$8),[1]qualifiche!$D$8,
IF(TRIM('[1]Personale di appoggio'!$F148)=TRIM([1]qualifiche!$E$9),[1]qualifiche!$D$9,
IF(TRIM('[1]Personale di appoggio'!$F148)=TRIM([1]qualifiche!$E$10),[1]qualifiche!$D$10,
IF(TRIM('[1]Personale di appoggio'!$F148)=TRIM([1]qualifiche!$E$11),[1]qualifiche!$D$11,""))))))))))</f>
        <v>2</v>
      </c>
      <c r="G147" s="5" t="s">
        <v>808</v>
      </c>
      <c r="H147" s="5" t="s">
        <v>809</v>
      </c>
      <c r="I147" s="6" t="s">
        <v>810</v>
      </c>
      <c r="J147" s="7">
        <f>IF('[1]Personale di appoggio'!J148="X",1,0)</f>
        <v>0</v>
      </c>
      <c r="K147" s="7">
        <f>IF('[1]Personale di appoggio'!K148="X",1,0)</f>
        <v>0</v>
      </c>
      <c r="L147" s="7">
        <f>IF('[1]Personale di appoggio'!L148="X",1,0)</f>
        <v>0</v>
      </c>
      <c r="M147" s="7">
        <f>IF('[1]Personale di appoggio'!M148="X",1,0)</f>
        <v>0</v>
      </c>
      <c r="N147" s="3"/>
      <c r="O147" s="3"/>
      <c r="P147" s="11" t="str">
        <f>IF('[1]Personale di appoggio'!$P148="","",'[1]Personale di appoggio'!$P148)</f>
        <v/>
      </c>
      <c r="Q147" s="4" t="s">
        <v>6</v>
      </c>
      <c r="R147" s="4">
        <f t="shared" si="2"/>
        <v>4</v>
      </c>
    </row>
    <row r="148" spans="1:18" ht="31.5" x14ac:dyDescent="0.45">
      <c r="A148" s="9">
        <v>148</v>
      </c>
      <c r="B148" s="2" t="s">
        <v>811</v>
      </c>
      <c r="C148" s="3" t="s">
        <v>812</v>
      </c>
      <c r="D148" s="3" t="s">
        <v>547</v>
      </c>
      <c r="E148" s="4">
        <f>IFERROR(INDEX([1]uot!$A$2:$A$40, MATCH("*"&amp;'[1]Personale di appoggio'!$D149&amp;"*", [1]uot!$B$2:$B$40, 0)), "Valore non trovato")</f>
        <v>33</v>
      </c>
      <c r="F148" s="4">
        <f>IF(TRIM('[1]Personale di appoggio'!$F149)=TRIM([1]qualifiche!$E$2),[1]qualifiche!$D$2,
IF(TRIM('[1]Personale di appoggio'!$F149)=TRIM([1]qualifiche!$E$3),[1]qualifiche!$D$3,
IF(TRIM('[1]Personale di appoggio'!$F149)=TRIM([1]qualifiche!$E$4),[1]qualifiche!$D$4,
IF(TRIM('[1]Personale di appoggio'!$F149)=TRIM([1]qualifiche!$E$5),[1]qualifiche!$D$5,
IF(TRIM('[1]Personale di appoggio'!$F149)=TRIM([1]qualifiche!$E$6),[1]qualifiche!$D$6,
IF(TRIM('[1]Personale di appoggio'!$F149)=TRIM([1]qualifiche!$E$7),[1]qualifiche!$D$7,
IF(TRIM('[1]Personale di appoggio'!$F149)=TRIM([1]qualifiche!$E$8),[1]qualifiche!$D$8,
IF(TRIM('[1]Personale di appoggio'!$F149)=TRIM([1]qualifiche!$E$9),[1]qualifiche!$D$9,
IF(TRIM('[1]Personale di appoggio'!$F149)=TRIM([1]qualifiche!$E$10),[1]qualifiche!$D$10,
IF(TRIM('[1]Personale di appoggio'!$F149)=TRIM([1]qualifiche!$E$11),[1]qualifiche!$D$11,""))))))))))</f>
        <v>5</v>
      </c>
      <c r="G148" s="5" t="s">
        <v>813</v>
      </c>
      <c r="H148" s="5" t="s">
        <v>814</v>
      </c>
      <c r="I148" s="6" t="s">
        <v>815</v>
      </c>
      <c r="J148" s="7">
        <f>IF('[1]Personale di appoggio'!J149="X",1,0)</f>
        <v>0</v>
      </c>
      <c r="K148" s="7">
        <f>IF('[1]Personale di appoggio'!K149="X",1,0)</f>
        <v>0</v>
      </c>
      <c r="L148" s="7">
        <f>IF('[1]Personale di appoggio'!L149="X",1,0)</f>
        <v>0</v>
      </c>
      <c r="M148" s="7">
        <f>IF('[1]Personale di appoggio'!M149="X",1,0)</f>
        <v>0</v>
      </c>
      <c r="N148" s="3"/>
      <c r="O148" s="3"/>
      <c r="P148" s="11" t="str">
        <f>IF('[1]Personale di appoggio'!$P149="","",'[1]Personale di appoggio'!$P149)</f>
        <v/>
      </c>
      <c r="Q148" s="4" t="s">
        <v>6</v>
      </c>
      <c r="R148" s="4">
        <f t="shared" si="2"/>
        <v>4</v>
      </c>
    </row>
    <row r="149" spans="1:18" ht="31.5" x14ac:dyDescent="0.45">
      <c r="A149" s="9">
        <v>149</v>
      </c>
      <c r="B149" s="2" t="s">
        <v>816</v>
      </c>
      <c r="C149" s="3" t="s">
        <v>817</v>
      </c>
      <c r="D149" s="3" t="s">
        <v>57</v>
      </c>
      <c r="E149" s="4">
        <f>IFERROR(INDEX([1]uot!$A$2:$A$40, MATCH("*"&amp;'[1]Personale di appoggio'!$D150&amp;"*", [1]uot!$B$2:$B$40, 0)), "Valore non trovato")</f>
        <v>33</v>
      </c>
      <c r="F149" s="4">
        <f>IF(TRIM('[1]Personale di appoggio'!$F150)=TRIM([1]qualifiche!$E$2),[1]qualifiche!$D$2,
IF(TRIM('[1]Personale di appoggio'!$F150)=TRIM([1]qualifiche!$E$3),[1]qualifiche!$D$3,
IF(TRIM('[1]Personale di appoggio'!$F150)=TRIM([1]qualifiche!$E$4),[1]qualifiche!$D$4,
IF(TRIM('[1]Personale di appoggio'!$F150)=TRIM([1]qualifiche!$E$5),[1]qualifiche!$D$5,
IF(TRIM('[1]Personale di appoggio'!$F150)=TRIM([1]qualifiche!$E$6),[1]qualifiche!$D$6,
IF(TRIM('[1]Personale di appoggio'!$F150)=TRIM([1]qualifiche!$E$7),[1]qualifiche!$D$7,
IF(TRIM('[1]Personale di appoggio'!$F150)=TRIM([1]qualifiche!$E$8),[1]qualifiche!$D$8,
IF(TRIM('[1]Personale di appoggio'!$F150)=TRIM([1]qualifiche!$E$9),[1]qualifiche!$D$9,
IF(TRIM('[1]Personale di appoggio'!$F150)=TRIM([1]qualifiche!$E$10),[1]qualifiche!$D$10,
IF(TRIM('[1]Personale di appoggio'!$F150)=TRIM([1]qualifiche!$E$11),[1]qualifiche!$D$11,""))))))))))</f>
        <v>4</v>
      </c>
      <c r="G149" s="5" t="s">
        <v>818</v>
      </c>
      <c r="H149" s="5" t="s">
        <v>819</v>
      </c>
      <c r="I149" s="6" t="s">
        <v>820</v>
      </c>
      <c r="J149" s="7">
        <f>IF('[1]Personale di appoggio'!J150="X",1,0)</f>
        <v>0</v>
      </c>
      <c r="K149" s="7">
        <f>IF('[1]Personale di appoggio'!K150="X",1,0)</f>
        <v>0</v>
      </c>
      <c r="L149" s="7">
        <f>IF('[1]Personale di appoggio'!L150="X",1,0)</f>
        <v>0</v>
      </c>
      <c r="M149" s="7">
        <f>IF('[1]Personale di appoggio'!M150="X",1,0)</f>
        <v>0</v>
      </c>
      <c r="N149" s="3"/>
      <c r="O149" s="3"/>
      <c r="P149" s="11" t="str">
        <f>IF('[1]Personale di appoggio'!$P150="","",'[1]Personale di appoggio'!$P150)</f>
        <v/>
      </c>
      <c r="Q149" s="4" t="s">
        <v>6</v>
      </c>
      <c r="R149" s="4">
        <f t="shared" si="2"/>
        <v>4</v>
      </c>
    </row>
    <row r="150" spans="1:18" ht="31.5" x14ac:dyDescent="0.45">
      <c r="A150" s="9">
        <v>150</v>
      </c>
      <c r="B150" s="2" t="s">
        <v>821</v>
      </c>
      <c r="C150" s="3" t="s">
        <v>822</v>
      </c>
      <c r="D150" s="3" t="s">
        <v>823</v>
      </c>
      <c r="E150" s="4">
        <f>IFERROR(INDEX([1]uot!$A$2:$A$40, MATCH("*"&amp;'[1]Personale di appoggio'!$D151&amp;"*", [1]uot!$B$2:$B$40, 0)), "Valore non trovato")</f>
        <v>33</v>
      </c>
      <c r="F150" s="4">
        <f>IF(TRIM('[1]Personale di appoggio'!$F151)=TRIM([1]qualifiche!$E$2),[1]qualifiche!$D$2,
IF(TRIM('[1]Personale di appoggio'!$F151)=TRIM([1]qualifiche!$E$3),[1]qualifiche!$D$3,
IF(TRIM('[1]Personale di appoggio'!$F151)=TRIM([1]qualifiche!$E$4),[1]qualifiche!$D$4,
IF(TRIM('[1]Personale di appoggio'!$F151)=TRIM([1]qualifiche!$E$5),[1]qualifiche!$D$5,
IF(TRIM('[1]Personale di appoggio'!$F151)=TRIM([1]qualifiche!$E$6),[1]qualifiche!$D$6,
IF(TRIM('[1]Personale di appoggio'!$F151)=TRIM([1]qualifiche!$E$7),[1]qualifiche!$D$7,
IF(TRIM('[1]Personale di appoggio'!$F151)=TRIM([1]qualifiche!$E$8),[1]qualifiche!$D$8,
IF(TRIM('[1]Personale di appoggio'!$F151)=TRIM([1]qualifiche!$E$9),[1]qualifiche!$D$9,
IF(TRIM('[1]Personale di appoggio'!$F151)=TRIM([1]qualifiche!$E$10),[1]qualifiche!$D$10,
IF(TRIM('[1]Personale di appoggio'!$F151)=TRIM([1]qualifiche!$E$11),[1]qualifiche!$D$11,""))))))))))</f>
        <v>4</v>
      </c>
      <c r="G150" s="5"/>
      <c r="H150" s="5" t="s">
        <v>824</v>
      </c>
      <c r="I150" s="6" t="s">
        <v>825</v>
      </c>
      <c r="J150" s="7">
        <f>IF('[1]Personale di appoggio'!J151="X",1,0)</f>
        <v>0</v>
      </c>
      <c r="K150" s="7">
        <f>IF('[1]Personale di appoggio'!K151="X",1,0)</f>
        <v>0</v>
      </c>
      <c r="L150" s="7">
        <f>IF('[1]Personale di appoggio'!L151="X",1,0)</f>
        <v>0</v>
      </c>
      <c r="M150" s="7">
        <f>IF('[1]Personale di appoggio'!M151="X",1,0)</f>
        <v>0</v>
      </c>
      <c r="N150" s="3"/>
      <c r="O150" s="3"/>
      <c r="P150" s="11" t="str">
        <f>IF('[1]Personale di appoggio'!$P151="","",'[1]Personale di appoggio'!$P151)</f>
        <v/>
      </c>
      <c r="Q150" s="4" t="s">
        <v>6</v>
      </c>
      <c r="R150" s="4">
        <f t="shared" si="2"/>
        <v>4</v>
      </c>
    </row>
    <row r="151" spans="1:18" ht="31.5" x14ac:dyDescent="0.45">
      <c r="A151" s="9">
        <v>151</v>
      </c>
      <c r="B151" s="2" t="s">
        <v>826</v>
      </c>
      <c r="C151" s="3" t="s">
        <v>827</v>
      </c>
      <c r="D151" s="3" t="s">
        <v>160</v>
      </c>
      <c r="E151" s="4">
        <f>IFERROR(INDEX([1]uot!$A$2:$A$40, MATCH("*"&amp;'[1]Personale di appoggio'!$D152&amp;"*", [1]uot!$B$2:$B$40, 0)), "Valore non trovato")</f>
        <v>33</v>
      </c>
      <c r="F151" s="4">
        <f>IF(TRIM('[1]Personale di appoggio'!$F152)=TRIM([1]qualifiche!$E$2),[1]qualifiche!$D$2,
IF(TRIM('[1]Personale di appoggio'!$F152)=TRIM([1]qualifiche!$E$3),[1]qualifiche!$D$3,
IF(TRIM('[1]Personale di appoggio'!$F152)=TRIM([1]qualifiche!$E$4),[1]qualifiche!$D$4,
IF(TRIM('[1]Personale di appoggio'!$F152)=TRIM([1]qualifiche!$E$5),[1]qualifiche!$D$5,
IF(TRIM('[1]Personale di appoggio'!$F152)=TRIM([1]qualifiche!$E$6),[1]qualifiche!$D$6,
IF(TRIM('[1]Personale di appoggio'!$F152)=TRIM([1]qualifiche!$E$7),[1]qualifiche!$D$7,
IF(TRIM('[1]Personale di appoggio'!$F152)=TRIM([1]qualifiche!$E$8),[1]qualifiche!$D$8,
IF(TRIM('[1]Personale di appoggio'!$F152)=TRIM([1]qualifiche!$E$9),[1]qualifiche!$D$9,
IF(TRIM('[1]Personale di appoggio'!$F152)=TRIM([1]qualifiche!$E$10),[1]qualifiche!$D$10,
IF(TRIM('[1]Personale di appoggio'!$F152)=TRIM([1]qualifiche!$E$11),[1]qualifiche!$D$11,""))))))))))</f>
        <v>6</v>
      </c>
      <c r="G151" s="5"/>
      <c r="H151" s="5" t="s">
        <v>828</v>
      </c>
      <c r="I151" s="6" t="s">
        <v>829</v>
      </c>
      <c r="J151" s="7">
        <f>IF('[1]Personale di appoggio'!J152="X",1,0)</f>
        <v>0</v>
      </c>
      <c r="K151" s="7">
        <f>IF('[1]Personale di appoggio'!K152="X",1,0)</f>
        <v>0</v>
      </c>
      <c r="L151" s="7">
        <f>IF('[1]Personale di appoggio'!L152="X",1,0)</f>
        <v>0</v>
      </c>
      <c r="M151" s="7">
        <f>IF('[1]Personale di appoggio'!M152="X",1,0)</f>
        <v>0</v>
      </c>
      <c r="N151" s="3"/>
      <c r="O151" s="3"/>
      <c r="P151" s="11" t="str">
        <f>IF('[1]Personale di appoggio'!$P152="","",'[1]Personale di appoggio'!$P152)</f>
        <v/>
      </c>
      <c r="Q151" s="4" t="s">
        <v>6</v>
      </c>
      <c r="R151" s="4">
        <f t="shared" si="2"/>
        <v>4</v>
      </c>
    </row>
    <row r="152" spans="1:18" ht="31.5" x14ac:dyDescent="0.45">
      <c r="A152" s="9">
        <v>152</v>
      </c>
      <c r="B152" s="2" t="s">
        <v>830</v>
      </c>
      <c r="C152" s="3" t="s">
        <v>831</v>
      </c>
      <c r="D152" s="3" t="s">
        <v>832</v>
      </c>
      <c r="E152" s="4">
        <f>IFERROR(INDEX([1]uot!$A$2:$A$40, MATCH("*"&amp;'[1]Personale di appoggio'!$D153&amp;"*", [1]uot!$B$2:$B$40, 0)), "Valore non trovato")</f>
        <v>33</v>
      </c>
      <c r="F152" s="4">
        <f>IF(TRIM('[1]Personale di appoggio'!$F153)=TRIM([1]qualifiche!$E$2),[1]qualifiche!$D$2,
IF(TRIM('[1]Personale di appoggio'!$F153)=TRIM([1]qualifiche!$E$3),[1]qualifiche!$D$3,
IF(TRIM('[1]Personale di appoggio'!$F153)=TRIM([1]qualifiche!$E$4),[1]qualifiche!$D$4,
IF(TRIM('[1]Personale di appoggio'!$F153)=TRIM([1]qualifiche!$E$5),[1]qualifiche!$D$5,
IF(TRIM('[1]Personale di appoggio'!$F153)=TRIM([1]qualifiche!$E$6),[1]qualifiche!$D$6,
IF(TRIM('[1]Personale di appoggio'!$F153)=TRIM([1]qualifiche!$E$7),[1]qualifiche!$D$7,
IF(TRIM('[1]Personale di appoggio'!$F153)=TRIM([1]qualifiche!$E$8),[1]qualifiche!$D$8,
IF(TRIM('[1]Personale di appoggio'!$F153)=TRIM([1]qualifiche!$E$9),[1]qualifiche!$D$9,
IF(TRIM('[1]Personale di appoggio'!$F153)=TRIM([1]qualifiche!$E$10),[1]qualifiche!$D$10,
IF(TRIM('[1]Personale di appoggio'!$F153)=TRIM([1]qualifiche!$E$11),[1]qualifiche!$D$11,""))))))))))</f>
        <v>7</v>
      </c>
      <c r="G152" s="5" t="s">
        <v>833</v>
      </c>
      <c r="H152" s="5" t="s">
        <v>834</v>
      </c>
      <c r="I152" s="6" t="s">
        <v>835</v>
      </c>
      <c r="J152" s="7">
        <f>IF('[1]Personale di appoggio'!J153="X",1,0)</f>
        <v>0</v>
      </c>
      <c r="K152" s="7">
        <f>IF('[1]Personale di appoggio'!K153="X",1,0)</f>
        <v>0</v>
      </c>
      <c r="L152" s="7">
        <f>IF('[1]Personale di appoggio'!L153="X",1,0)</f>
        <v>0</v>
      </c>
      <c r="M152" s="7">
        <f>IF('[1]Personale di appoggio'!M153="X",1,0)</f>
        <v>0</v>
      </c>
      <c r="N152" s="3"/>
      <c r="O152" s="3"/>
      <c r="P152" s="11" t="str">
        <f>IF('[1]Personale di appoggio'!$P153="","",'[1]Personale di appoggio'!$P153)</f>
        <v/>
      </c>
      <c r="Q152" s="4" t="s">
        <v>6</v>
      </c>
      <c r="R152" s="4">
        <f t="shared" si="2"/>
        <v>4</v>
      </c>
    </row>
    <row r="153" spans="1:18" ht="31.5" x14ac:dyDescent="0.45">
      <c r="A153" s="9">
        <v>153</v>
      </c>
      <c r="B153" s="2" t="s">
        <v>836</v>
      </c>
      <c r="C153" s="3" t="s">
        <v>837</v>
      </c>
      <c r="D153" s="3" t="s">
        <v>838</v>
      </c>
      <c r="E153" s="4">
        <f>IFERROR(INDEX([1]uot!$A$2:$A$40, MATCH("*"&amp;'[1]Personale di appoggio'!$D154&amp;"*", [1]uot!$B$2:$B$40, 0)), "Valore non trovato")</f>
        <v>33</v>
      </c>
      <c r="F153" s="4">
        <f>IF(TRIM('[1]Personale di appoggio'!$F154)=TRIM([1]qualifiche!$E$2),[1]qualifiche!$D$2,
IF(TRIM('[1]Personale di appoggio'!$F154)=TRIM([1]qualifiche!$E$3),[1]qualifiche!$D$3,
IF(TRIM('[1]Personale di appoggio'!$F154)=TRIM([1]qualifiche!$E$4),[1]qualifiche!$D$4,
IF(TRIM('[1]Personale di appoggio'!$F154)=TRIM([1]qualifiche!$E$5),[1]qualifiche!$D$5,
IF(TRIM('[1]Personale di appoggio'!$F154)=TRIM([1]qualifiche!$E$6),[1]qualifiche!$D$6,
IF(TRIM('[1]Personale di appoggio'!$F154)=TRIM([1]qualifiche!$E$7),[1]qualifiche!$D$7,
IF(TRIM('[1]Personale di appoggio'!$F154)=TRIM([1]qualifiche!$E$8),[1]qualifiche!$D$8,
IF(TRIM('[1]Personale di appoggio'!$F154)=TRIM([1]qualifiche!$E$9),[1]qualifiche!$D$9,
IF(TRIM('[1]Personale di appoggio'!$F154)=TRIM([1]qualifiche!$E$10),[1]qualifiche!$D$10,
IF(TRIM('[1]Personale di appoggio'!$F154)=TRIM([1]qualifiche!$E$11),[1]qualifiche!$D$11,""))))))))))</f>
        <v>7</v>
      </c>
      <c r="G153" s="5" t="s">
        <v>839</v>
      </c>
      <c r="H153" s="5" t="s">
        <v>840</v>
      </c>
      <c r="I153" s="6" t="s">
        <v>841</v>
      </c>
      <c r="J153" s="7">
        <f>IF('[1]Personale di appoggio'!J154="X",1,0)</f>
        <v>0</v>
      </c>
      <c r="K153" s="7">
        <f>IF('[1]Personale di appoggio'!K154="X",1,0)</f>
        <v>0</v>
      </c>
      <c r="L153" s="7">
        <f>IF('[1]Personale di appoggio'!L154="X",1,0)</f>
        <v>0</v>
      </c>
      <c r="M153" s="7">
        <f>IF('[1]Personale di appoggio'!M154="X",1,0)</f>
        <v>0</v>
      </c>
      <c r="N153" s="3"/>
      <c r="O153" s="3"/>
      <c r="P153" s="11" t="str">
        <f>IF('[1]Personale di appoggio'!$P154="","",'[1]Personale di appoggio'!$P154)</f>
        <v/>
      </c>
      <c r="Q153" s="4" t="s">
        <v>6</v>
      </c>
      <c r="R153" s="4">
        <f t="shared" si="2"/>
        <v>4</v>
      </c>
    </row>
    <row r="154" spans="1:18" ht="31.5" x14ac:dyDescent="0.45">
      <c r="A154" s="9">
        <v>154</v>
      </c>
      <c r="B154" s="2" t="s">
        <v>842</v>
      </c>
      <c r="C154" s="3" t="s">
        <v>843</v>
      </c>
      <c r="D154" s="3" t="s">
        <v>844</v>
      </c>
      <c r="E154" s="4">
        <f>IFERROR(INDEX([1]uot!$A$2:$A$40, MATCH("*"&amp;'[1]Personale di appoggio'!$D155&amp;"*", [1]uot!$B$2:$B$40, 0)), "Valore non trovato")</f>
        <v>33</v>
      </c>
      <c r="F154" s="4">
        <f>IF(TRIM('[1]Personale di appoggio'!$F155)=TRIM([1]qualifiche!$E$2),[1]qualifiche!$D$2,
IF(TRIM('[1]Personale di appoggio'!$F155)=TRIM([1]qualifiche!$E$3),[1]qualifiche!$D$3,
IF(TRIM('[1]Personale di appoggio'!$F155)=TRIM([1]qualifiche!$E$4),[1]qualifiche!$D$4,
IF(TRIM('[1]Personale di appoggio'!$F155)=TRIM([1]qualifiche!$E$5),[1]qualifiche!$D$5,
IF(TRIM('[1]Personale di appoggio'!$F155)=TRIM([1]qualifiche!$E$6),[1]qualifiche!$D$6,
IF(TRIM('[1]Personale di appoggio'!$F155)=TRIM([1]qualifiche!$E$7),[1]qualifiche!$D$7,
IF(TRIM('[1]Personale di appoggio'!$F155)=TRIM([1]qualifiche!$E$8),[1]qualifiche!$D$8,
IF(TRIM('[1]Personale di appoggio'!$F155)=TRIM([1]qualifiche!$E$9),[1]qualifiche!$D$9,
IF(TRIM('[1]Personale di appoggio'!$F155)=TRIM([1]qualifiche!$E$10),[1]qualifiche!$D$10,
IF(TRIM('[1]Personale di appoggio'!$F155)=TRIM([1]qualifiche!$E$11),[1]qualifiche!$D$11,""))))))))))</f>
        <v>7</v>
      </c>
      <c r="G154" s="5" t="s">
        <v>845</v>
      </c>
      <c r="H154" s="5" t="s">
        <v>846</v>
      </c>
      <c r="I154" s="6" t="s">
        <v>847</v>
      </c>
      <c r="J154" s="7">
        <f>IF('[1]Personale di appoggio'!J155="X",1,0)</f>
        <v>0</v>
      </c>
      <c r="K154" s="7">
        <f>IF('[1]Personale di appoggio'!K155="X",1,0)</f>
        <v>0</v>
      </c>
      <c r="L154" s="7">
        <f>IF('[1]Personale di appoggio'!L155="X",1,0)</f>
        <v>0</v>
      </c>
      <c r="M154" s="7">
        <f>IF('[1]Personale di appoggio'!M155="X",1,0)</f>
        <v>0</v>
      </c>
      <c r="N154" s="3"/>
      <c r="O154" s="3"/>
      <c r="P154" s="11" t="str">
        <f>IF('[1]Personale di appoggio'!$P155="","",'[1]Personale di appoggio'!$P155)</f>
        <v/>
      </c>
      <c r="Q154" s="4" t="s">
        <v>6</v>
      </c>
      <c r="R154" s="4">
        <f t="shared" si="2"/>
        <v>4</v>
      </c>
    </row>
    <row r="155" spans="1:18" ht="47.25" x14ac:dyDescent="0.45">
      <c r="A155" s="9">
        <v>155</v>
      </c>
      <c r="B155" s="2" t="s">
        <v>848</v>
      </c>
      <c r="C155" s="3" t="s">
        <v>849</v>
      </c>
      <c r="D155" s="3" t="s">
        <v>850</v>
      </c>
      <c r="E155" s="4">
        <f>IFERROR(INDEX([1]uot!$A$2:$A$40, MATCH("*"&amp;'[1]Personale di appoggio'!$D156&amp;"*", [1]uot!$B$2:$B$40, 0)), "Valore non trovato")</f>
        <v>34</v>
      </c>
      <c r="F155" s="4">
        <f>IF(TRIM('[1]Personale di appoggio'!$F156)=TRIM([1]qualifiche!$E$2),[1]qualifiche!$D$2,
IF(TRIM('[1]Personale di appoggio'!$F156)=TRIM([1]qualifiche!$E$3),[1]qualifiche!$D$3,
IF(TRIM('[1]Personale di appoggio'!$F156)=TRIM([1]qualifiche!$E$4),[1]qualifiche!$D$4,
IF(TRIM('[1]Personale di appoggio'!$F156)=TRIM([1]qualifiche!$E$5),[1]qualifiche!$D$5,
IF(TRIM('[1]Personale di appoggio'!$F156)=TRIM([1]qualifiche!$E$6),[1]qualifiche!$D$6,
IF(TRIM('[1]Personale di appoggio'!$F156)=TRIM([1]qualifiche!$E$7),[1]qualifiche!$D$7,
IF(TRIM('[1]Personale di appoggio'!$F156)=TRIM([1]qualifiche!$E$8),[1]qualifiche!$D$8,
IF(TRIM('[1]Personale di appoggio'!$F156)=TRIM([1]qualifiche!$E$9),[1]qualifiche!$D$9,
IF(TRIM('[1]Personale di appoggio'!$F156)=TRIM([1]qualifiche!$E$10),[1]qualifiche!$D$10,
IF(TRIM('[1]Personale di appoggio'!$F156)=TRIM([1]qualifiche!$E$11),[1]qualifiche!$D$11,""))))))))))</f>
        <v>1</v>
      </c>
      <c r="G155" s="5" t="s">
        <v>851</v>
      </c>
      <c r="H155" s="5" t="s">
        <v>852</v>
      </c>
      <c r="I155" s="6" t="s">
        <v>853</v>
      </c>
      <c r="J155" s="7">
        <f>IF('[1]Personale di appoggio'!J156="X",1,0)</f>
        <v>0</v>
      </c>
      <c r="K155" s="7">
        <f>IF('[1]Personale di appoggio'!K156="X",1,0)</f>
        <v>1</v>
      </c>
      <c r="L155" s="7">
        <f>IF('[1]Personale di appoggio'!L156="X",1,0)</f>
        <v>0</v>
      </c>
      <c r="M155" s="7">
        <f>IF('[1]Personale di appoggio'!M156="X",1,0)</f>
        <v>0</v>
      </c>
      <c r="N155" s="3"/>
      <c r="O155" s="3"/>
      <c r="P155" s="11" t="str">
        <f>IF('[1]Personale di appoggio'!$P156="","",'[1]Personale di appoggio'!$P156)</f>
        <v>SOLLEVAMENTO: ON 100</v>
      </c>
      <c r="Q155" s="4" t="s">
        <v>6</v>
      </c>
      <c r="R155" s="4">
        <f t="shared" si="2"/>
        <v>2</v>
      </c>
    </row>
    <row r="156" spans="1:18" ht="157.5" x14ac:dyDescent="0.45">
      <c r="A156" s="9">
        <v>156</v>
      </c>
      <c r="B156" s="2" t="s">
        <v>854</v>
      </c>
      <c r="C156" s="3" t="s">
        <v>855</v>
      </c>
      <c r="D156" s="3" t="s">
        <v>856</v>
      </c>
      <c r="E156" s="4">
        <f>IFERROR(INDEX([1]uot!$A$2:$A$40, MATCH("*"&amp;'[1]Personale di appoggio'!$D157&amp;"*", [1]uot!$B$2:$B$40, 0)), "Valore non trovato")</f>
        <v>34</v>
      </c>
      <c r="F156" s="4">
        <f>IF(TRIM('[1]Personale di appoggio'!$F157)=TRIM([1]qualifiche!$E$2),[1]qualifiche!$D$2,
IF(TRIM('[1]Personale di appoggio'!$F157)=TRIM([1]qualifiche!$E$3),[1]qualifiche!$D$3,
IF(TRIM('[1]Personale di appoggio'!$F157)=TRIM([1]qualifiche!$E$4),[1]qualifiche!$D$4,
IF(TRIM('[1]Personale di appoggio'!$F157)=TRIM([1]qualifiche!$E$5),[1]qualifiche!$D$5,
IF(TRIM('[1]Personale di appoggio'!$F157)=TRIM([1]qualifiche!$E$6),[1]qualifiche!$D$6,
IF(TRIM('[1]Personale di appoggio'!$F157)=TRIM([1]qualifiche!$E$7),[1]qualifiche!$D$7,
IF(TRIM('[1]Personale di appoggio'!$F157)=TRIM([1]qualifiche!$E$8),[1]qualifiche!$D$8,
IF(TRIM('[1]Personale di appoggio'!$F157)=TRIM([1]qualifiche!$E$9),[1]qualifiche!$D$9,
IF(TRIM('[1]Personale di appoggio'!$F157)=TRIM([1]qualifiche!$E$10),[1]qualifiche!$D$10,
IF(TRIM('[1]Personale di appoggio'!$F157)=TRIM([1]qualifiche!$E$11),[1]qualifiche!$D$11,""))))))))))</f>
        <v>2</v>
      </c>
      <c r="G156" s="5" t="s">
        <v>857</v>
      </c>
      <c r="H156" s="5" t="s">
        <v>858</v>
      </c>
      <c r="I156" s="6" t="s">
        <v>859</v>
      </c>
      <c r="J156" s="7">
        <f>IF('[1]Personale di appoggio'!J157="X",1,0)</f>
        <v>1</v>
      </c>
      <c r="K156" s="7">
        <f>IF('[1]Personale di appoggio'!K157="X",1,0)</f>
        <v>0</v>
      </c>
      <c r="L156" s="7">
        <f>IF('[1]Personale di appoggio'!L157="X",1,0)</f>
        <v>1</v>
      </c>
      <c r="M156" s="7">
        <f>IF('[1]Personale di appoggio'!M157="X",1,0)</f>
        <v>0</v>
      </c>
      <c r="N156" s="3"/>
      <c r="O156" s="3"/>
      <c r="P156" s="11" t="str">
        <f>IF('[1]Personale di appoggio'!$P157="","",'[1]Personale di appoggio'!$P157)</f>
        <v>PRESSIONE: TPED e Apparecchi a pressione
Competenza su Seveso</v>
      </c>
      <c r="Q156" s="4" t="s">
        <v>6</v>
      </c>
      <c r="R156" s="4">
        <f t="shared" si="2"/>
        <v>2</v>
      </c>
    </row>
    <row r="157" spans="1:18" ht="47.25" x14ac:dyDescent="0.45">
      <c r="A157" s="9">
        <v>157</v>
      </c>
      <c r="B157" s="2" t="s">
        <v>860</v>
      </c>
      <c r="C157" s="3" t="s">
        <v>861</v>
      </c>
      <c r="D157" s="3" t="s">
        <v>862</v>
      </c>
      <c r="E157" s="4">
        <f>IFERROR(INDEX([1]uot!$A$2:$A$40, MATCH("*"&amp;'[1]Personale di appoggio'!$D158&amp;"*", [1]uot!$B$2:$B$40, 0)), "Valore non trovato")</f>
        <v>34</v>
      </c>
      <c r="F157" s="4">
        <f>IF(TRIM('[1]Personale di appoggio'!$F158)=TRIM([1]qualifiche!$E$2),[1]qualifiche!$D$2,
IF(TRIM('[1]Personale di appoggio'!$F158)=TRIM([1]qualifiche!$E$3),[1]qualifiche!$D$3,
IF(TRIM('[1]Personale di appoggio'!$F158)=TRIM([1]qualifiche!$E$4),[1]qualifiche!$D$4,
IF(TRIM('[1]Personale di appoggio'!$F158)=TRIM([1]qualifiche!$E$5),[1]qualifiche!$D$5,
IF(TRIM('[1]Personale di appoggio'!$F158)=TRIM([1]qualifiche!$E$6),[1]qualifiche!$D$6,
IF(TRIM('[1]Personale di appoggio'!$F158)=TRIM([1]qualifiche!$E$7),[1]qualifiche!$D$7,
IF(TRIM('[1]Personale di appoggio'!$F158)=TRIM([1]qualifiche!$E$8),[1]qualifiche!$D$8,
IF(TRIM('[1]Personale di appoggio'!$F158)=TRIM([1]qualifiche!$E$9),[1]qualifiche!$D$9,
IF(TRIM('[1]Personale di appoggio'!$F158)=TRIM([1]qualifiche!$E$10),[1]qualifiche!$D$10,
IF(TRIM('[1]Personale di appoggio'!$F158)=TRIM([1]qualifiche!$E$11),[1]qualifiche!$D$11,""))))))))))</f>
        <v>3</v>
      </c>
      <c r="G157" s="5" t="s">
        <v>863</v>
      </c>
      <c r="H157" s="5" t="s">
        <v>864</v>
      </c>
      <c r="I157" s="6" t="s">
        <v>865</v>
      </c>
      <c r="J157" s="7">
        <f>IF('[1]Personale di appoggio'!J158="X",1,0)</f>
        <v>1</v>
      </c>
      <c r="K157" s="7">
        <f>IF('[1]Personale di appoggio'!K158="X",1,0)</f>
        <v>0</v>
      </c>
      <c r="L157" s="7">
        <f>IF('[1]Personale di appoggio'!L158="X",1,0)</f>
        <v>1</v>
      </c>
      <c r="M157" s="7">
        <f>IF('[1]Personale di appoggio'!M158="X",1,0)</f>
        <v>0</v>
      </c>
      <c r="N157" s="3"/>
      <c r="O157" s="3"/>
      <c r="P157" s="11" t="str">
        <f>IF('[1]Personale di appoggio'!$P158="","",'[1]Personale di appoggio'!$P158)</f>
        <v>Competenza su Seveso</v>
      </c>
      <c r="Q157" s="4" t="s">
        <v>6</v>
      </c>
      <c r="R157" s="4">
        <f t="shared" si="2"/>
        <v>2</v>
      </c>
    </row>
    <row r="158" spans="1:18" ht="78.75" x14ac:dyDescent="0.45">
      <c r="A158" s="9">
        <v>158</v>
      </c>
      <c r="B158" s="2" t="s">
        <v>866</v>
      </c>
      <c r="C158" s="3" t="s">
        <v>867</v>
      </c>
      <c r="D158" s="3" t="s">
        <v>868</v>
      </c>
      <c r="E158" s="4">
        <f>IFERROR(INDEX([1]uot!$A$2:$A$40, MATCH("*"&amp;'[1]Personale di appoggio'!$D159&amp;"*", [1]uot!$B$2:$B$40, 0)), "Valore non trovato")</f>
        <v>34</v>
      </c>
      <c r="F158" s="4">
        <f>IF(TRIM('[1]Personale di appoggio'!$F159)=TRIM([1]qualifiche!$E$2),[1]qualifiche!$D$2,
IF(TRIM('[1]Personale di appoggio'!$F159)=TRIM([1]qualifiche!$E$3),[1]qualifiche!$D$3,
IF(TRIM('[1]Personale di appoggio'!$F159)=TRIM([1]qualifiche!$E$4),[1]qualifiche!$D$4,
IF(TRIM('[1]Personale di appoggio'!$F159)=TRIM([1]qualifiche!$E$5),[1]qualifiche!$D$5,
IF(TRIM('[1]Personale di appoggio'!$F159)=TRIM([1]qualifiche!$E$6),[1]qualifiche!$D$6,
IF(TRIM('[1]Personale di appoggio'!$F159)=TRIM([1]qualifiche!$E$7),[1]qualifiche!$D$7,
IF(TRIM('[1]Personale di appoggio'!$F159)=TRIM([1]qualifiche!$E$8),[1]qualifiche!$D$8,
IF(TRIM('[1]Personale di appoggio'!$F159)=TRIM([1]qualifiche!$E$9),[1]qualifiche!$D$9,
IF(TRIM('[1]Personale di appoggio'!$F159)=TRIM([1]qualifiche!$E$10),[1]qualifiche!$D$10,
IF(TRIM('[1]Personale di appoggio'!$F159)=TRIM([1]qualifiche!$E$11),[1]qualifiche!$D$11,""))))))))))</f>
        <v>4</v>
      </c>
      <c r="G158" s="5" t="s">
        <v>869</v>
      </c>
      <c r="H158" s="5" t="s">
        <v>870</v>
      </c>
      <c r="I158" s="6" t="s">
        <v>871</v>
      </c>
      <c r="J158" s="7">
        <f>IF('[1]Personale di appoggio'!J159="X",1,0)</f>
        <v>1</v>
      </c>
      <c r="K158" s="7">
        <f>IF('[1]Personale di appoggio'!K159="X",1,0)</f>
        <v>1</v>
      </c>
      <c r="L158" s="7">
        <f>IF('[1]Personale di appoggio'!L159="X",1,0)</f>
        <v>0</v>
      </c>
      <c r="M158" s="7">
        <f>IF('[1]Personale di appoggio'!M159="X",1,0)</f>
        <v>1</v>
      </c>
      <c r="N158" s="3"/>
      <c r="O158" s="3"/>
      <c r="P158" s="11" t="str">
        <f>IF('[1]Personale di appoggio'!$P159="","",'[1]Personale di appoggio'!$P159)</f>
        <v>PRESSIONE: TPED_ valvole e bombole</v>
      </c>
      <c r="Q158" s="4" t="s">
        <v>6</v>
      </c>
      <c r="R158" s="4">
        <f t="shared" si="2"/>
        <v>2</v>
      </c>
    </row>
    <row r="159" spans="1:18" ht="78.75" x14ac:dyDescent="0.45">
      <c r="A159" s="9">
        <v>159</v>
      </c>
      <c r="B159" s="2" t="s">
        <v>872</v>
      </c>
      <c r="C159" s="3" t="s">
        <v>873</v>
      </c>
      <c r="D159" s="3" t="s">
        <v>874</v>
      </c>
      <c r="E159" s="4">
        <f>IFERROR(INDEX([1]uot!$A$2:$A$40, MATCH("*"&amp;'[1]Personale di appoggio'!$D160&amp;"*", [1]uot!$B$2:$B$40, 0)), "Valore non trovato")</f>
        <v>34</v>
      </c>
      <c r="F159" s="4">
        <f>IF(TRIM('[1]Personale di appoggio'!$F160)=TRIM([1]qualifiche!$E$2),[1]qualifiche!$D$2,
IF(TRIM('[1]Personale di appoggio'!$F160)=TRIM([1]qualifiche!$E$3),[1]qualifiche!$D$3,
IF(TRIM('[1]Personale di appoggio'!$F160)=TRIM([1]qualifiche!$E$4),[1]qualifiche!$D$4,
IF(TRIM('[1]Personale di appoggio'!$F160)=TRIM([1]qualifiche!$E$5),[1]qualifiche!$D$5,
IF(TRIM('[1]Personale di appoggio'!$F160)=TRIM([1]qualifiche!$E$6),[1]qualifiche!$D$6,
IF(TRIM('[1]Personale di appoggio'!$F160)=TRIM([1]qualifiche!$E$7),[1]qualifiche!$D$7,
IF(TRIM('[1]Personale di appoggio'!$F160)=TRIM([1]qualifiche!$E$8),[1]qualifiche!$D$8,
IF(TRIM('[1]Personale di appoggio'!$F160)=TRIM([1]qualifiche!$E$9),[1]qualifiche!$D$9,
IF(TRIM('[1]Personale di appoggio'!$F160)=TRIM([1]qualifiche!$E$10),[1]qualifiche!$D$10,
IF(TRIM('[1]Personale di appoggio'!$F160)=TRIM([1]qualifiche!$E$11),[1]qualifiche!$D$11,""))))))))))</f>
        <v>4</v>
      </c>
      <c r="G159" s="5" t="s">
        <v>875</v>
      </c>
      <c r="H159" s="5" t="s">
        <v>876</v>
      </c>
      <c r="I159" s="6" t="s">
        <v>877</v>
      </c>
      <c r="J159" s="7">
        <f>IF('[1]Personale di appoggio'!J160="X",1,0)</f>
        <v>1</v>
      </c>
      <c r="K159" s="7">
        <f>IF('[1]Personale di appoggio'!K160="X",1,0)</f>
        <v>1</v>
      </c>
      <c r="L159" s="7">
        <f>IF('[1]Personale di appoggio'!L160="X",1,0)</f>
        <v>0</v>
      </c>
      <c r="M159" s="7">
        <f>IF('[1]Personale di appoggio'!M160="X",1,0)</f>
        <v>1</v>
      </c>
      <c r="N159" s="3"/>
      <c r="O159" s="3"/>
      <c r="P159" s="11" t="str">
        <f>IF('[1]Personale di appoggio'!$P160="","",'[1]Personale di appoggio'!$P160)</f>
        <v>PRESSIONE: TPED_ valvole e bombole</v>
      </c>
      <c r="Q159" s="4" t="s">
        <v>6</v>
      </c>
      <c r="R159" s="4">
        <f t="shared" si="2"/>
        <v>2</v>
      </c>
    </row>
    <row r="160" spans="1:18" ht="173.25" x14ac:dyDescent="0.45">
      <c r="A160" s="9">
        <v>160</v>
      </c>
      <c r="B160" s="2" t="s">
        <v>878</v>
      </c>
      <c r="C160" s="3" t="s">
        <v>879</v>
      </c>
      <c r="D160" s="3" t="s">
        <v>880</v>
      </c>
      <c r="E160" s="4">
        <f>IFERROR(INDEX([1]uot!$A$2:$A$40, MATCH("*"&amp;'[1]Personale di appoggio'!$D161&amp;"*", [1]uot!$B$2:$B$40, 0)), "Valore non trovato")</f>
        <v>34</v>
      </c>
      <c r="F160" s="4">
        <f>IF(TRIM('[1]Personale di appoggio'!$F161)=TRIM([1]qualifiche!$E$2),[1]qualifiche!$D$2,
IF(TRIM('[1]Personale di appoggio'!$F161)=TRIM([1]qualifiche!$E$3),[1]qualifiche!$D$3,
IF(TRIM('[1]Personale di appoggio'!$F161)=TRIM([1]qualifiche!$E$4),[1]qualifiche!$D$4,
IF(TRIM('[1]Personale di appoggio'!$F161)=TRIM([1]qualifiche!$E$5),[1]qualifiche!$D$5,
IF(TRIM('[1]Personale di appoggio'!$F161)=TRIM([1]qualifiche!$E$6),[1]qualifiche!$D$6,
IF(TRIM('[1]Personale di appoggio'!$F161)=TRIM([1]qualifiche!$E$7),[1]qualifiche!$D$7,
IF(TRIM('[1]Personale di appoggio'!$F161)=TRIM([1]qualifiche!$E$8),[1]qualifiche!$D$8,
IF(TRIM('[1]Personale di appoggio'!$F161)=TRIM([1]qualifiche!$E$9),[1]qualifiche!$D$9,
IF(TRIM('[1]Personale di appoggio'!$F161)=TRIM([1]qualifiche!$E$10),[1]qualifiche!$D$10,
IF(TRIM('[1]Personale di appoggio'!$F161)=TRIM([1]qualifiche!$E$11),[1]qualifiche!$D$11,""))))))))))</f>
        <v>4</v>
      </c>
      <c r="G160" s="5" t="s">
        <v>881</v>
      </c>
      <c r="H160" s="5" t="s">
        <v>882</v>
      </c>
      <c r="I160" s="6" t="s">
        <v>883</v>
      </c>
      <c r="J160" s="7">
        <f>IF('[1]Personale di appoggio'!J161="X",1,0)</f>
        <v>1</v>
      </c>
      <c r="K160" s="7">
        <f>IF('[1]Personale di appoggio'!K161="X",1,0)</f>
        <v>0</v>
      </c>
      <c r="L160" s="7">
        <f>IF('[1]Personale di appoggio'!L161="X",1,0)</f>
        <v>1</v>
      </c>
      <c r="M160" s="7">
        <f>IF('[1]Personale di appoggio'!M161="X",1,0)</f>
        <v>0</v>
      </c>
      <c r="N160" s="3"/>
      <c r="O160" s="3"/>
      <c r="P160" s="11" t="str">
        <f>IF('[1]Personale di appoggio'!$P161="","",'[1]Personale di appoggio'!$P161)</f>
        <v>PRESSIONE: Apparecchi a pressione_ valvole e bombole
Competenza su Seveso</v>
      </c>
      <c r="Q160" s="4" t="s">
        <v>6</v>
      </c>
      <c r="R160" s="4">
        <f t="shared" si="2"/>
        <v>2</v>
      </c>
    </row>
    <row r="161" spans="1:18" ht="31.5" x14ac:dyDescent="0.45">
      <c r="A161" s="9">
        <v>161</v>
      </c>
      <c r="B161" s="2" t="s">
        <v>884</v>
      </c>
      <c r="C161" s="3" t="s">
        <v>885</v>
      </c>
      <c r="D161" s="3" t="s">
        <v>886</v>
      </c>
      <c r="E161" s="4">
        <f>IFERROR(INDEX([1]uot!$A$2:$A$40, MATCH("*"&amp;'[1]Personale di appoggio'!$D162&amp;"*", [1]uot!$B$2:$B$40, 0)), "Valore non trovato")</f>
        <v>34</v>
      </c>
      <c r="F161" s="4">
        <f>IF(TRIM('[1]Personale di appoggio'!$F162)=TRIM([1]qualifiche!$E$2),[1]qualifiche!$D$2,
IF(TRIM('[1]Personale di appoggio'!$F162)=TRIM([1]qualifiche!$E$3),[1]qualifiche!$D$3,
IF(TRIM('[1]Personale di appoggio'!$F162)=TRIM([1]qualifiche!$E$4),[1]qualifiche!$D$4,
IF(TRIM('[1]Personale di appoggio'!$F162)=TRIM([1]qualifiche!$E$5),[1]qualifiche!$D$5,
IF(TRIM('[1]Personale di appoggio'!$F162)=TRIM([1]qualifiche!$E$6),[1]qualifiche!$D$6,
IF(TRIM('[1]Personale di appoggio'!$F162)=TRIM([1]qualifiche!$E$7),[1]qualifiche!$D$7,
IF(TRIM('[1]Personale di appoggio'!$F162)=TRIM([1]qualifiche!$E$8),[1]qualifiche!$D$8,
IF(TRIM('[1]Personale di appoggio'!$F162)=TRIM([1]qualifiche!$E$9),[1]qualifiche!$D$9,
IF(TRIM('[1]Personale di appoggio'!$F162)=TRIM([1]qualifiche!$E$10),[1]qualifiche!$D$10,
IF(TRIM('[1]Personale di appoggio'!$F162)=TRIM([1]qualifiche!$E$11),[1]qualifiche!$D$11,""))))))))))</f>
        <v>7</v>
      </c>
      <c r="G161" s="5" t="s">
        <v>887</v>
      </c>
      <c r="H161" s="5" t="s">
        <v>888</v>
      </c>
      <c r="I161" s="6" t="s">
        <v>889</v>
      </c>
      <c r="J161" s="7">
        <f>IF('[1]Personale di appoggio'!J162="X",1,0)</f>
        <v>0</v>
      </c>
      <c r="K161" s="7">
        <f>IF('[1]Personale di appoggio'!K162="X",1,0)</f>
        <v>0</v>
      </c>
      <c r="L161" s="7">
        <f>IF('[1]Personale di appoggio'!L162="X",1,0)</f>
        <v>0</v>
      </c>
      <c r="M161" s="7">
        <f>IF('[1]Personale di appoggio'!M162="X",1,0)</f>
        <v>0</v>
      </c>
      <c r="N161" s="3"/>
      <c r="O161" s="3"/>
      <c r="P161" s="11" t="str">
        <f>IF('[1]Personale di appoggio'!$P162="","",'[1]Personale di appoggio'!$P162)</f>
        <v/>
      </c>
      <c r="Q161" s="4" t="s">
        <v>6</v>
      </c>
      <c r="R161" s="4">
        <f t="shared" si="2"/>
        <v>4</v>
      </c>
    </row>
    <row r="162" spans="1:18" ht="31.5" x14ac:dyDescent="0.45">
      <c r="A162" s="9">
        <v>162</v>
      </c>
      <c r="B162" s="2" t="s">
        <v>890</v>
      </c>
      <c r="C162" s="3" t="s">
        <v>891</v>
      </c>
      <c r="D162" s="3" t="s">
        <v>63</v>
      </c>
      <c r="E162" s="4">
        <f>IFERROR(INDEX([1]uot!$A$2:$A$40, MATCH("*"&amp;'[1]Personale di appoggio'!$D163&amp;"*", [1]uot!$B$2:$B$40, 0)), "Valore non trovato")</f>
        <v>34</v>
      </c>
      <c r="F162" s="4">
        <f>IF(TRIM('[1]Personale di appoggio'!$F163)=TRIM([1]qualifiche!$E$2),[1]qualifiche!$D$2,
IF(TRIM('[1]Personale di appoggio'!$F163)=TRIM([1]qualifiche!$E$3),[1]qualifiche!$D$3,
IF(TRIM('[1]Personale di appoggio'!$F163)=TRIM([1]qualifiche!$E$4),[1]qualifiche!$D$4,
IF(TRIM('[1]Personale di appoggio'!$F163)=TRIM([1]qualifiche!$E$5),[1]qualifiche!$D$5,
IF(TRIM('[1]Personale di appoggio'!$F163)=TRIM([1]qualifiche!$E$6),[1]qualifiche!$D$6,
IF(TRIM('[1]Personale di appoggio'!$F163)=TRIM([1]qualifiche!$E$7),[1]qualifiche!$D$7,
IF(TRIM('[1]Personale di appoggio'!$F163)=TRIM([1]qualifiche!$E$8),[1]qualifiche!$D$8,
IF(TRIM('[1]Personale di appoggio'!$F163)=TRIM([1]qualifiche!$E$9),[1]qualifiche!$D$9,
IF(TRIM('[1]Personale di appoggio'!$F163)=TRIM([1]qualifiche!$E$10),[1]qualifiche!$D$10,
IF(TRIM('[1]Personale di appoggio'!$F163)=TRIM([1]qualifiche!$E$11),[1]qualifiche!$D$11,""))))))))))</f>
        <v>7</v>
      </c>
      <c r="G162" s="5" t="s">
        <v>892</v>
      </c>
      <c r="H162" s="5" t="s">
        <v>893</v>
      </c>
      <c r="I162" s="6" t="s">
        <v>894</v>
      </c>
      <c r="J162" s="7">
        <f>IF('[1]Personale di appoggio'!J163="X",1,0)</f>
        <v>0</v>
      </c>
      <c r="K162" s="7">
        <f>IF('[1]Personale di appoggio'!K163="X",1,0)</f>
        <v>0</v>
      </c>
      <c r="L162" s="7">
        <f>IF('[1]Personale di appoggio'!L163="X",1,0)</f>
        <v>0</v>
      </c>
      <c r="M162" s="7">
        <f>IF('[1]Personale di appoggio'!M163="X",1,0)</f>
        <v>0</v>
      </c>
      <c r="N162" s="3"/>
      <c r="O162" s="3"/>
      <c r="P162" s="11" t="str">
        <f>IF('[1]Personale di appoggio'!$P163="","",'[1]Personale di appoggio'!$P163)</f>
        <v/>
      </c>
      <c r="Q162" s="4" t="s">
        <v>6</v>
      </c>
      <c r="R162" s="4">
        <f t="shared" si="2"/>
        <v>4</v>
      </c>
    </row>
    <row r="163" spans="1:18" ht="31.5" x14ac:dyDescent="0.45">
      <c r="A163" s="9">
        <v>163</v>
      </c>
      <c r="B163" s="2" t="s">
        <v>895</v>
      </c>
      <c r="C163" s="3" t="s">
        <v>896</v>
      </c>
      <c r="D163" s="3" t="s">
        <v>897</v>
      </c>
      <c r="E163" s="4">
        <f>IFERROR(INDEX([1]uot!$A$2:$A$40, MATCH("*"&amp;'[1]Personale di appoggio'!$D164&amp;"*", [1]uot!$B$2:$B$40, 0)), "Valore non trovato")</f>
        <v>36</v>
      </c>
      <c r="F163" s="4">
        <f>IF(TRIM('[1]Personale di appoggio'!$F164)=TRIM([1]qualifiche!$E$2),[1]qualifiche!$D$2,
IF(TRIM('[1]Personale di appoggio'!$F164)=TRIM([1]qualifiche!$E$3),[1]qualifiche!$D$3,
IF(TRIM('[1]Personale di appoggio'!$F164)=TRIM([1]qualifiche!$E$4),[1]qualifiche!$D$4,
IF(TRIM('[1]Personale di appoggio'!$F164)=TRIM([1]qualifiche!$E$5),[1]qualifiche!$D$5,
IF(TRIM('[1]Personale di appoggio'!$F164)=TRIM([1]qualifiche!$E$6),[1]qualifiche!$D$6,
IF(TRIM('[1]Personale di appoggio'!$F164)=TRIM([1]qualifiche!$E$7),[1]qualifiche!$D$7,
IF(TRIM('[1]Personale di appoggio'!$F164)=TRIM([1]qualifiche!$E$8),[1]qualifiche!$D$8,
IF(TRIM('[1]Personale di appoggio'!$F164)=TRIM([1]qualifiche!$E$9),[1]qualifiche!$D$9,
IF(TRIM('[1]Personale di appoggio'!$F164)=TRIM([1]qualifiche!$E$10),[1]qualifiche!$D$10,
IF(TRIM('[1]Personale di appoggio'!$F164)=TRIM([1]qualifiche!$E$11),[1]qualifiche!$D$11,""))))))))))</f>
        <v>1</v>
      </c>
      <c r="G163" s="5" t="s">
        <v>898</v>
      </c>
      <c r="H163" s="5" t="s">
        <v>899</v>
      </c>
      <c r="I163" s="6" t="s">
        <v>900</v>
      </c>
      <c r="J163" s="7">
        <f>IF('[1]Personale di appoggio'!J164="X",1,0)</f>
        <v>0</v>
      </c>
      <c r="K163" s="7">
        <f>IF('[1]Personale di appoggio'!K164="X",1,0)</f>
        <v>0</v>
      </c>
      <c r="L163" s="7">
        <f>IF('[1]Personale di appoggio'!L164="X",1,0)</f>
        <v>0</v>
      </c>
      <c r="M163" s="7">
        <f>IF('[1]Personale di appoggio'!M164="X",1,0)</f>
        <v>0</v>
      </c>
      <c r="N163" s="3"/>
      <c r="O163" s="3"/>
      <c r="P163" s="11" t="str">
        <f>IF('[1]Personale di appoggio'!$P164="","",'[1]Personale di appoggio'!$P164)</f>
        <v/>
      </c>
      <c r="Q163" s="4" t="s">
        <v>6</v>
      </c>
      <c r="R163" s="4">
        <f t="shared" si="2"/>
        <v>4</v>
      </c>
    </row>
    <row r="164" spans="1:18" ht="31.5" x14ac:dyDescent="0.45">
      <c r="A164" s="9">
        <v>164</v>
      </c>
      <c r="B164" s="2" t="s">
        <v>901</v>
      </c>
      <c r="C164" s="3" t="s">
        <v>902</v>
      </c>
      <c r="D164" s="3" t="s">
        <v>838</v>
      </c>
      <c r="E164" s="4">
        <f>IFERROR(INDEX([1]uot!$A$2:$A$40, MATCH("*"&amp;'[1]Personale di appoggio'!$D165&amp;"*", [1]uot!$B$2:$B$40, 0)), "Valore non trovato")</f>
        <v>36</v>
      </c>
      <c r="F164" s="4">
        <f>IF(TRIM('[1]Personale di appoggio'!$F165)=TRIM([1]qualifiche!$E$2),[1]qualifiche!$D$2,
IF(TRIM('[1]Personale di appoggio'!$F165)=TRIM([1]qualifiche!$E$3),[1]qualifiche!$D$3,
IF(TRIM('[1]Personale di appoggio'!$F165)=TRIM([1]qualifiche!$E$4),[1]qualifiche!$D$4,
IF(TRIM('[1]Personale di appoggio'!$F165)=TRIM([1]qualifiche!$E$5),[1]qualifiche!$D$5,
IF(TRIM('[1]Personale di appoggio'!$F165)=TRIM([1]qualifiche!$E$6),[1]qualifiche!$D$6,
IF(TRIM('[1]Personale di appoggio'!$F165)=TRIM([1]qualifiche!$E$7),[1]qualifiche!$D$7,
IF(TRIM('[1]Personale di appoggio'!$F165)=TRIM([1]qualifiche!$E$8),[1]qualifiche!$D$8,
IF(TRIM('[1]Personale di appoggio'!$F165)=TRIM([1]qualifiche!$E$9),[1]qualifiche!$D$9,
IF(TRIM('[1]Personale di appoggio'!$F165)=TRIM([1]qualifiche!$E$10),[1]qualifiche!$D$10,
IF(TRIM('[1]Personale di appoggio'!$F165)=TRIM([1]qualifiche!$E$11),[1]qualifiche!$D$11,""))))))))))</f>
        <v>2</v>
      </c>
      <c r="G164" s="5" t="s">
        <v>903</v>
      </c>
      <c r="H164" s="5" t="s">
        <v>904</v>
      </c>
      <c r="I164" s="6" t="s">
        <v>905</v>
      </c>
      <c r="J164" s="7">
        <f>IF('[1]Personale di appoggio'!J165="X",1,0)</f>
        <v>0</v>
      </c>
      <c r="K164" s="7">
        <f>IF('[1]Personale di appoggio'!K165="X",1,0)</f>
        <v>0</v>
      </c>
      <c r="L164" s="7">
        <f>IF('[1]Personale di appoggio'!L165="X",1,0)</f>
        <v>0</v>
      </c>
      <c r="M164" s="7">
        <f>IF('[1]Personale di appoggio'!M165="X",1,0)</f>
        <v>0</v>
      </c>
      <c r="N164" s="3"/>
      <c r="O164" s="3"/>
      <c r="P164" s="11" t="str">
        <f>IF('[1]Personale di appoggio'!$P165="","",'[1]Personale di appoggio'!$P165)</f>
        <v/>
      </c>
      <c r="Q164" s="4" t="s">
        <v>6</v>
      </c>
      <c r="R164" s="4">
        <f t="shared" si="2"/>
        <v>4</v>
      </c>
    </row>
    <row r="165" spans="1:18" ht="31.5" x14ac:dyDescent="0.45">
      <c r="A165" s="9">
        <v>165</v>
      </c>
      <c r="B165" s="2" t="s">
        <v>906</v>
      </c>
      <c r="C165" s="3" t="s">
        <v>907</v>
      </c>
      <c r="D165" s="3" t="s">
        <v>908</v>
      </c>
      <c r="E165" s="4">
        <f>IFERROR(INDEX([1]uot!$A$2:$A$40, MATCH("*"&amp;'[1]Personale di appoggio'!$D166&amp;"*", [1]uot!$B$2:$B$40, 0)), "Valore non trovato")</f>
        <v>36</v>
      </c>
      <c r="F165" s="4">
        <f>IF(TRIM('[1]Personale di appoggio'!$F166)=TRIM([1]qualifiche!$E$2),[1]qualifiche!$D$2,
IF(TRIM('[1]Personale di appoggio'!$F166)=TRIM([1]qualifiche!$E$3),[1]qualifiche!$D$3,
IF(TRIM('[1]Personale di appoggio'!$F166)=TRIM([1]qualifiche!$E$4),[1]qualifiche!$D$4,
IF(TRIM('[1]Personale di appoggio'!$F166)=TRIM([1]qualifiche!$E$5),[1]qualifiche!$D$5,
IF(TRIM('[1]Personale di appoggio'!$F166)=TRIM([1]qualifiche!$E$6),[1]qualifiche!$D$6,
IF(TRIM('[1]Personale di appoggio'!$F166)=TRIM([1]qualifiche!$E$7),[1]qualifiche!$D$7,
IF(TRIM('[1]Personale di appoggio'!$F166)=TRIM([1]qualifiche!$E$8),[1]qualifiche!$D$8,
IF(TRIM('[1]Personale di appoggio'!$F166)=TRIM([1]qualifiche!$E$9),[1]qualifiche!$D$9,
IF(TRIM('[1]Personale di appoggio'!$F166)=TRIM([1]qualifiche!$E$10),[1]qualifiche!$D$10,
IF(TRIM('[1]Personale di appoggio'!$F166)=TRIM([1]qualifiche!$E$11),[1]qualifiche!$D$11,""))))))))))</f>
        <v>2</v>
      </c>
      <c r="G165" s="5"/>
      <c r="H165" s="5" t="s">
        <v>909</v>
      </c>
      <c r="I165" s="6" t="s">
        <v>910</v>
      </c>
      <c r="J165" s="7">
        <f>IF('[1]Personale di appoggio'!J166="X",1,0)</f>
        <v>0</v>
      </c>
      <c r="K165" s="7">
        <f>IF('[1]Personale di appoggio'!K166="X",1,0)</f>
        <v>0</v>
      </c>
      <c r="L165" s="7">
        <f>IF('[1]Personale di appoggio'!L166="X",1,0)</f>
        <v>0</v>
      </c>
      <c r="M165" s="7">
        <f>IF('[1]Personale di appoggio'!M166="X",1,0)</f>
        <v>0</v>
      </c>
      <c r="N165" s="3"/>
      <c r="O165" s="3"/>
      <c r="P165" s="11" t="str">
        <f>IF('[1]Personale di appoggio'!$P166="","",'[1]Personale di appoggio'!$P166)</f>
        <v/>
      </c>
      <c r="Q165" s="4" t="s">
        <v>6</v>
      </c>
      <c r="R165" s="4">
        <f t="shared" si="2"/>
        <v>4</v>
      </c>
    </row>
    <row r="166" spans="1:18" ht="31.5" x14ac:dyDescent="0.45">
      <c r="A166" s="9">
        <v>166</v>
      </c>
      <c r="B166" s="2" t="s">
        <v>911</v>
      </c>
      <c r="C166" s="3" t="s">
        <v>912</v>
      </c>
      <c r="D166" s="3" t="s">
        <v>222</v>
      </c>
      <c r="E166" s="4">
        <f>IFERROR(INDEX([1]uot!$A$2:$A$40, MATCH("*"&amp;'[1]Personale di appoggio'!$D167&amp;"*", [1]uot!$B$2:$B$40, 0)), "Valore non trovato")</f>
        <v>36</v>
      </c>
      <c r="F166" s="4">
        <f>IF(TRIM('[1]Personale di appoggio'!$F167)=TRIM([1]qualifiche!$E$2),[1]qualifiche!$D$2,
IF(TRIM('[1]Personale di appoggio'!$F167)=TRIM([1]qualifiche!$E$3),[1]qualifiche!$D$3,
IF(TRIM('[1]Personale di appoggio'!$F167)=TRIM([1]qualifiche!$E$4),[1]qualifiche!$D$4,
IF(TRIM('[1]Personale di appoggio'!$F167)=TRIM([1]qualifiche!$E$5),[1]qualifiche!$D$5,
IF(TRIM('[1]Personale di appoggio'!$F167)=TRIM([1]qualifiche!$E$6),[1]qualifiche!$D$6,
IF(TRIM('[1]Personale di appoggio'!$F167)=TRIM([1]qualifiche!$E$7),[1]qualifiche!$D$7,
IF(TRIM('[1]Personale di appoggio'!$F167)=TRIM([1]qualifiche!$E$8),[1]qualifiche!$D$8,
IF(TRIM('[1]Personale di appoggio'!$F167)=TRIM([1]qualifiche!$E$9),[1]qualifiche!$D$9,
IF(TRIM('[1]Personale di appoggio'!$F167)=TRIM([1]qualifiche!$E$10),[1]qualifiche!$D$10,
IF(TRIM('[1]Personale di appoggio'!$F167)=TRIM([1]qualifiche!$E$11),[1]qualifiche!$D$11,""))))))))))</f>
        <v>2</v>
      </c>
      <c r="G166" s="5" t="s">
        <v>913</v>
      </c>
      <c r="H166" s="5" t="s">
        <v>914</v>
      </c>
      <c r="I166" s="6" t="s">
        <v>915</v>
      </c>
      <c r="J166" s="7">
        <f>IF('[1]Personale di appoggio'!J167="X",1,0)</f>
        <v>0</v>
      </c>
      <c r="K166" s="7">
        <f>IF('[1]Personale di appoggio'!K167="X",1,0)</f>
        <v>0</v>
      </c>
      <c r="L166" s="7">
        <f>IF('[1]Personale di appoggio'!L167="X",1,0)</f>
        <v>0</v>
      </c>
      <c r="M166" s="7">
        <f>IF('[1]Personale di appoggio'!M167="X",1,0)</f>
        <v>0</v>
      </c>
      <c r="N166" s="3"/>
      <c r="O166" s="3"/>
      <c r="P166" s="11" t="str">
        <f>IF('[1]Personale di appoggio'!$P167="","",'[1]Personale di appoggio'!$P167)</f>
        <v/>
      </c>
      <c r="Q166" s="4" t="s">
        <v>6</v>
      </c>
      <c r="R166" s="4">
        <f t="shared" si="2"/>
        <v>4</v>
      </c>
    </row>
    <row r="167" spans="1:18" ht="31.5" x14ac:dyDescent="0.45">
      <c r="A167" s="9">
        <v>167</v>
      </c>
      <c r="B167" s="2" t="s">
        <v>916</v>
      </c>
      <c r="C167" s="3" t="s">
        <v>917</v>
      </c>
      <c r="D167" s="3" t="s">
        <v>918</v>
      </c>
      <c r="E167" s="4">
        <f>IFERROR(INDEX([1]uot!$A$2:$A$40, MATCH("*"&amp;'[1]Personale di appoggio'!$D168&amp;"*", [1]uot!$B$2:$B$40, 0)), "Valore non trovato")</f>
        <v>36</v>
      </c>
      <c r="F167" s="4">
        <f>IF(TRIM('[1]Personale di appoggio'!$F168)=TRIM([1]qualifiche!$E$2),[1]qualifiche!$D$2,
IF(TRIM('[1]Personale di appoggio'!$F168)=TRIM([1]qualifiche!$E$3),[1]qualifiche!$D$3,
IF(TRIM('[1]Personale di appoggio'!$F168)=TRIM([1]qualifiche!$E$4),[1]qualifiche!$D$4,
IF(TRIM('[1]Personale di appoggio'!$F168)=TRIM([1]qualifiche!$E$5),[1]qualifiche!$D$5,
IF(TRIM('[1]Personale di appoggio'!$F168)=TRIM([1]qualifiche!$E$6),[1]qualifiche!$D$6,
IF(TRIM('[1]Personale di appoggio'!$F168)=TRIM([1]qualifiche!$E$7),[1]qualifiche!$D$7,
IF(TRIM('[1]Personale di appoggio'!$F168)=TRIM([1]qualifiche!$E$8),[1]qualifiche!$D$8,
IF(TRIM('[1]Personale di appoggio'!$F168)=TRIM([1]qualifiche!$E$9),[1]qualifiche!$D$9,
IF(TRIM('[1]Personale di appoggio'!$F168)=TRIM([1]qualifiche!$E$10),[1]qualifiche!$D$10,
IF(TRIM('[1]Personale di appoggio'!$F168)=TRIM([1]qualifiche!$E$11),[1]qualifiche!$D$11,""))))))))))</f>
        <v>5</v>
      </c>
      <c r="G167" s="5" t="s">
        <v>919</v>
      </c>
      <c r="H167" s="5" t="s">
        <v>920</v>
      </c>
      <c r="I167" s="6" t="s">
        <v>921</v>
      </c>
      <c r="J167" s="7">
        <f>IF('[1]Personale di appoggio'!J168="X",1,0)</f>
        <v>0</v>
      </c>
      <c r="K167" s="7">
        <f>IF('[1]Personale di appoggio'!K168="X",1,0)</f>
        <v>0</v>
      </c>
      <c r="L167" s="7">
        <f>IF('[1]Personale di appoggio'!L168="X",1,0)</f>
        <v>0</v>
      </c>
      <c r="M167" s="7">
        <f>IF('[1]Personale di appoggio'!M168="X",1,0)</f>
        <v>0</v>
      </c>
      <c r="N167" s="3"/>
      <c r="O167" s="3"/>
      <c r="P167" s="11" t="str">
        <f>IF('[1]Personale di appoggio'!$P168="","",'[1]Personale di appoggio'!$P168)</f>
        <v/>
      </c>
      <c r="Q167" s="4" t="s">
        <v>6</v>
      </c>
      <c r="R167" s="4">
        <f t="shared" si="2"/>
        <v>4</v>
      </c>
    </row>
    <row r="168" spans="1:18" ht="31.5" x14ac:dyDescent="0.45">
      <c r="A168" s="9">
        <v>168</v>
      </c>
      <c r="B168" s="2" t="s">
        <v>922</v>
      </c>
      <c r="C168" s="3" t="s">
        <v>923</v>
      </c>
      <c r="D168" s="3" t="s">
        <v>924</v>
      </c>
      <c r="E168" s="4">
        <f>IFERROR(INDEX([1]uot!$A$2:$A$40, MATCH("*"&amp;'[1]Personale di appoggio'!$D169&amp;"*", [1]uot!$B$2:$B$40, 0)), "Valore non trovato")</f>
        <v>36</v>
      </c>
      <c r="F168" s="4">
        <f>IF(TRIM('[1]Personale di appoggio'!$F169)=TRIM([1]qualifiche!$E$2),[1]qualifiche!$D$2,
IF(TRIM('[1]Personale di appoggio'!$F169)=TRIM([1]qualifiche!$E$3),[1]qualifiche!$D$3,
IF(TRIM('[1]Personale di appoggio'!$F169)=TRIM([1]qualifiche!$E$4),[1]qualifiche!$D$4,
IF(TRIM('[1]Personale di appoggio'!$F169)=TRIM([1]qualifiche!$E$5),[1]qualifiche!$D$5,
IF(TRIM('[1]Personale di appoggio'!$F169)=TRIM([1]qualifiche!$E$6),[1]qualifiche!$D$6,
IF(TRIM('[1]Personale di appoggio'!$F169)=TRIM([1]qualifiche!$E$7),[1]qualifiche!$D$7,
IF(TRIM('[1]Personale di appoggio'!$F169)=TRIM([1]qualifiche!$E$8),[1]qualifiche!$D$8,
IF(TRIM('[1]Personale di appoggio'!$F169)=TRIM([1]qualifiche!$E$9),[1]qualifiche!$D$9,
IF(TRIM('[1]Personale di appoggio'!$F169)=TRIM([1]qualifiche!$E$10),[1]qualifiche!$D$10,
IF(TRIM('[1]Personale di appoggio'!$F169)=TRIM([1]qualifiche!$E$11),[1]qualifiche!$D$11,""))))))))))</f>
        <v>4</v>
      </c>
      <c r="G168" s="5" t="s">
        <v>925</v>
      </c>
      <c r="H168" s="5" t="s">
        <v>926</v>
      </c>
      <c r="I168" s="6" t="s">
        <v>927</v>
      </c>
      <c r="J168" s="7">
        <f>IF('[1]Personale di appoggio'!J169="X",1,0)</f>
        <v>0</v>
      </c>
      <c r="K168" s="7">
        <f>IF('[1]Personale di appoggio'!K169="X",1,0)</f>
        <v>0</v>
      </c>
      <c r="L168" s="7">
        <f>IF('[1]Personale di appoggio'!L169="X",1,0)</f>
        <v>0</v>
      </c>
      <c r="M168" s="7">
        <f>IF('[1]Personale di appoggio'!M169="X",1,0)</f>
        <v>0</v>
      </c>
      <c r="N168" s="3"/>
      <c r="O168" s="3"/>
      <c r="P168" s="11" t="str">
        <f>IF('[1]Personale di appoggio'!$P169="","",'[1]Personale di appoggio'!$P169)</f>
        <v/>
      </c>
      <c r="Q168" s="4" t="s">
        <v>6</v>
      </c>
      <c r="R168" s="4">
        <f t="shared" si="2"/>
        <v>4</v>
      </c>
    </row>
    <row r="169" spans="1:18" ht="31.5" x14ac:dyDescent="0.45">
      <c r="A169" s="9">
        <v>169</v>
      </c>
      <c r="B169" s="2" t="s">
        <v>928</v>
      </c>
      <c r="C169" s="3" t="s">
        <v>726</v>
      </c>
      <c r="D169" s="3" t="s">
        <v>929</v>
      </c>
      <c r="E169" s="4">
        <f>IFERROR(INDEX([1]uot!$A$2:$A$40, MATCH("*"&amp;'[1]Personale di appoggio'!$D170&amp;"*", [1]uot!$B$2:$B$40, 0)), "Valore non trovato")</f>
        <v>36</v>
      </c>
      <c r="F169" s="4">
        <f>IF(TRIM('[1]Personale di appoggio'!$F170)=TRIM([1]qualifiche!$E$2),[1]qualifiche!$D$2,
IF(TRIM('[1]Personale di appoggio'!$F170)=TRIM([1]qualifiche!$E$3),[1]qualifiche!$D$3,
IF(TRIM('[1]Personale di appoggio'!$F170)=TRIM([1]qualifiche!$E$4),[1]qualifiche!$D$4,
IF(TRIM('[1]Personale di appoggio'!$F170)=TRIM([1]qualifiche!$E$5),[1]qualifiche!$D$5,
IF(TRIM('[1]Personale di appoggio'!$F170)=TRIM([1]qualifiche!$E$6),[1]qualifiche!$D$6,
IF(TRIM('[1]Personale di appoggio'!$F170)=TRIM([1]qualifiche!$E$7),[1]qualifiche!$D$7,
IF(TRIM('[1]Personale di appoggio'!$F170)=TRIM([1]qualifiche!$E$8),[1]qualifiche!$D$8,
IF(TRIM('[1]Personale di appoggio'!$F170)=TRIM([1]qualifiche!$E$9),[1]qualifiche!$D$9,
IF(TRIM('[1]Personale di appoggio'!$F170)=TRIM([1]qualifiche!$E$10),[1]qualifiche!$D$10,
IF(TRIM('[1]Personale di appoggio'!$F170)=TRIM([1]qualifiche!$E$11),[1]qualifiche!$D$11,""))))))))))</f>
        <v>4</v>
      </c>
      <c r="G169" s="5" t="s">
        <v>930</v>
      </c>
      <c r="H169" s="5" t="s">
        <v>931</v>
      </c>
      <c r="I169" s="6" t="s">
        <v>932</v>
      </c>
      <c r="J169" s="7">
        <f>IF('[1]Personale di appoggio'!J170="X",1,0)</f>
        <v>0</v>
      </c>
      <c r="K169" s="7">
        <f>IF('[1]Personale di appoggio'!K170="X",1,0)</f>
        <v>0</v>
      </c>
      <c r="L169" s="7">
        <f>IF('[1]Personale di appoggio'!L170="X",1,0)</f>
        <v>0</v>
      </c>
      <c r="M169" s="7">
        <f>IF('[1]Personale di appoggio'!M170="X",1,0)</f>
        <v>0</v>
      </c>
      <c r="N169" s="3"/>
      <c r="O169" s="3"/>
      <c r="P169" s="11" t="str">
        <f>IF('[1]Personale di appoggio'!$P170="","",'[1]Personale di appoggio'!$P170)</f>
        <v/>
      </c>
      <c r="Q169" s="4" t="s">
        <v>6</v>
      </c>
      <c r="R169" s="4">
        <f t="shared" si="2"/>
        <v>4</v>
      </c>
    </row>
    <row r="170" spans="1:18" ht="31.5" x14ac:dyDescent="0.45">
      <c r="A170" s="9">
        <v>170</v>
      </c>
      <c r="B170" s="2" t="s">
        <v>933</v>
      </c>
      <c r="C170" s="3" t="s">
        <v>934</v>
      </c>
      <c r="D170" s="3" t="s">
        <v>935</v>
      </c>
      <c r="E170" s="4">
        <f>IFERROR(INDEX([1]uot!$A$2:$A$40, MATCH("*"&amp;'[1]Personale di appoggio'!$D171&amp;"*", [1]uot!$B$2:$B$40, 0)), "Valore non trovato")</f>
        <v>36</v>
      </c>
      <c r="F170" s="4">
        <f>IF(TRIM('[1]Personale di appoggio'!$F171)=TRIM([1]qualifiche!$E$2),[1]qualifiche!$D$2,
IF(TRIM('[1]Personale di appoggio'!$F171)=TRIM([1]qualifiche!$E$3),[1]qualifiche!$D$3,
IF(TRIM('[1]Personale di appoggio'!$F171)=TRIM([1]qualifiche!$E$4),[1]qualifiche!$D$4,
IF(TRIM('[1]Personale di appoggio'!$F171)=TRIM([1]qualifiche!$E$5),[1]qualifiche!$D$5,
IF(TRIM('[1]Personale di appoggio'!$F171)=TRIM([1]qualifiche!$E$6),[1]qualifiche!$D$6,
IF(TRIM('[1]Personale di appoggio'!$F171)=TRIM([1]qualifiche!$E$7),[1]qualifiche!$D$7,
IF(TRIM('[1]Personale di appoggio'!$F171)=TRIM([1]qualifiche!$E$8),[1]qualifiche!$D$8,
IF(TRIM('[1]Personale di appoggio'!$F171)=TRIM([1]qualifiche!$E$9),[1]qualifiche!$D$9,
IF(TRIM('[1]Personale di appoggio'!$F171)=TRIM([1]qualifiche!$E$10),[1]qualifiche!$D$10,
IF(TRIM('[1]Personale di appoggio'!$F171)=TRIM([1]qualifiche!$E$11),[1]qualifiche!$D$11,""))))))))))</f>
        <v>4</v>
      </c>
      <c r="G170" s="5" t="s">
        <v>936</v>
      </c>
      <c r="H170" s="5" t="s">
        <v>937</v>
      </c>
      <c r="I170" s="6" t="s">
        <v>938</v>
      </c>
      <c r="J170" s="7">
        <f>IF('[1]Personale di appoggio'!J171="X",1,0)</f>
        <v>0</v>
      </c>
      <c r="K170" s="7">
        <f>IF('[1]Personale di appoggio'!K171="X",1,0)</f>
        <v>0</v>
      </c>
      <c r="L170" s="7">
        <f>IF('[1]Personale di appoggio'!L171="X",1,0)</f>
        <v>0</v>
      </c>
      <c r="M170" s="7">
        <f>IF('[1]Personale di appoggio'!M171="X",1,0)</f>
        <v>0</v>
      </c>
      <c r="N170" s="3"/>
      <c r="O170" s="3"/>
      <c r="P170" s="11" t="str">
        <f>IF('[1]Personale di appoggio'!$P171="","",'[1]Personale di appoggio'!$P171)</f>
        <v/>
      </c>
      <c r="Q170" s="4" t="s">
        <v>6</v>
      </c>
      <c r="R170" s="4">
        <f t="shared" si="2"/>
        <v>4</v>
      </c>
    </row>
    <row r="171" spans="1:18" ht="31.5" x14ac:dyDescent="0.45">
      <c r="A171" s="9">
        <v>171</v>
      </c>
      <c r="B171" s="2" t="s">
        <v>939</v>
      </c>
      <c r="C171" s="3" t="s">
        <v>940</v>
      </c>
      <c r="D171" s="3" t="s">
        <v>240</v>
      </c>
      <c r="E171" s="4">
        <f>IFERROR(INDEX([1]uot!$A$2:$A$40, MATCH("*"&amp;'[1]Personale di appoggio'!$D172&amp;"*", [1]uot!$B$2:$B$40, 0)), "Valore non trovato")</f>
        <v>36</v>
      </c>
      <c r="F171" s="4">
        <f>IF(TRIM('[1]Personale di appoggio'!$F172)=TRIM([1]qualifiche!$E$2),[1]qualifiche!$D$2,
IF(TRIM('[1]Personale di appoggio'!$F172)=TRIM([1]qualifiche!$E$3),[1]qualifiche!$D$3,
IF(TRIM('[1]Personale di appoggio'!$F172)=TRIM([1]qualifiche!$E$4),[1]qualifiche!$D$4,
IF(TRIM('[1]Personale di appoggio'!$F172)=TRIM([1]qualifiche!$E$5),[1]qualifiche!$D$5,
IF(TRIM('[1]Personale di appoggio'!$F172)=TRIM([1]qualifiche!$E$6),[1]qualifiche!$D$6,
IF(TRIM('[1]Personale di appoggio'!$F172)=TRIM([1]qualifiche!$E$7),[1]qualifiche!$D$7,
IF(TRIM('[1]Personale di appoggio'!$F172)=TRIM([1]qualifiche!$E$8),[1]qualifiche!$D$8,
IF(TRIM('[1]Personale di appoggio'!$F172)=TRIM([1]qualifiche!$E$9),[1]qualifiche!$D$9,
IF(TRIM('[1]Personale di appoggio'!$F172)=TRIM([1]qualifiche!$E$10),[1]qualifiche!$D$10,
IF(TRIM('[1]Personale di appoggio'!$F172)=TRIM([1]qualifiche!$E$11),[1]qualifiche!$D$11,""))))))))))</f>
        <v>4</v>
      </c>
      <c r="G171" s="5" t="s">
        <v>941</v>
      </c>
      <c r="H171" s="5" t="s">
        <v>942</v>
      </c>
      <c r="I171" s="6" t="s">
        <v>943</v>
      </c>
      <c r="J171" s="7">
        <f>IF('[1]Personale di appoggio'!J172="X",1,0)</f>
        <v>0</v>
      </c>
      <c r="K171" s="7">
        <f>IF('[1]Personale di appoggio'!K172="X",1,0)</f>
        <v>0</v>
      </c>
      <c r="L171" s="7">
        <f>IF('[1]Personale di appoggio'!L172="X",1,0)</f>
        <v>0</v>
      </c>
      <c r="M171" s="7">
        <f>IF('[1]Personale di appoggio'!M172="X",1,0)</f>
        <v>0</v>
      </c>
      <c r="N171" s="3"/>
      <c r="O171" s="3"/>
      <c r="P171" s="11" t="str">
        <f>IF('[1]Personale di appoggio'!$P172="","",'[1]Personale di appoggio'!$P172)</f>
        <v/>
      </c>
      <c r="Q171" s="4" t="s">
        <v>6</v>
      </c>
      <c r="R171" s="4">
        <f t="shared" si="2"/>
        <v>4</v>
      </c>
    </row>
    <row r="172" spans="1:18" ht="31.5" x14ac:dyDescent="0.45">
      <c r="A172" s="9">
        <v>172</v>
      </c>
      <c r="B172" s="2" t="s">
        <v>944</v>
      </c>
      <c r="C172" s="3" t="s">
        <v>945</v>
      </c>
      <c r="D172" s="3" t="s">
        <v>278</v>
      </c>
      <c r="E172" s="4">
        <f>IFERROR(INDEX([1]uot!$A$2:$A$40, MATCH("*"&amp;'[1]Personale di appoggio'!$D173&amp;"*", [1]uot!$B$2:$B$40, 0)), "Valore non trovato")</f>
        <v>36</v>
      </c>
      <c r="F172" s="4">
        <f>IF(TRIM('[1]Personale di appoggio'!$F173)=TRIM([1]qualifiche!$E$2),[1]qualifiche!$D$2,
IF(TRIM('[1]Personale di appoggio'!$F173)=TRIM([1]qualifiche!$E$3),[1]qualifiche!$D$3,
IF(TRIM('[1]Personale di appoggio'!$F173)=TRIM([1]qualifiche!$E$4),[1]qualifiche!$D$4,
IF(TRIM('[1]Personale di appoggio'!$F173)=TRIM([1]qualifiche!$E$5),[1]qualifiche!$D$5,
IF(TRIM('[1]Personale di appoggio'!$F173)=TRIM([1]qualifiche!$E$6),[1]qualifiche!$D$6,
IF(TRIM('[1]Personale di appoggio'!$F173)=TRIM([1]qualifiche!$E$7),[1]qualifiche!$D$7,
IF(TRIM('[1]Personale di appoggio'!$F173)=TRIM([1]qualifiche!$E$8),[1]qualifiche!$D$8,
IF(TRIM('[1]Personale di appoggio'!$F173)=TRIM([1]qualifiche!$E$9),[1]qualifiche!$D$9,
IF(TRIM('[1]Personale di appoggio'!$F173)=TRIM([1]qualifiche!$E$10),[1]qualifiche!$D$10,
IF(TRIM('[1]Personale di appoggio'!$F173)=TRIM([1]qualifiche!$E$11),[1]qualifiche!$D$11,""))))))))))</f>
        <v>4</v>
      </c>
      <c r="G172" s="5" t="s">
        <v>946</v>
      </c>
      <c r="H172" s="5" t="s">
        <v>947</v>
      </c>
      <c r="I172" s="6" t="s">
        <v>948</v>
      </c>
      <c r="J172" s="7">
        <f>IF('[1]Personale di appoggio'!J173="X",1,0)</f>
        <v>0</v>
      </c>
      <c r="K172" s="7">
        <f>IF('[1]Personale di appoggio'!K173="X",1,0)</f>
        <v>0</v>
      </c>
      <c r="L172" s="7">
        <f>IF('[1]Personale di appoggio'!L173="X",1,0)</f>
        <v>0</v>
      </c>
      <c r="M172" s="7">
        <f>IF('[1]Personale di appoggio'!M173="X",1,0)</f>
        <v>0</v>
      </c>
      <c r="N172" s="3"/>
      <c r="O172" s="3"/>
      <c r="P172" s="11" t="str">
        <f>IF('[1]Personale di appoggio'!$P173="","",'[1]Personale di appoggio'!$P173)</f>
        <v/>
      </c>
      <c r="Q172" s="4" t="s">
        <v>6</v>
      </c>
      <c r="R172" s="4">
        <f t="shared" si="2"/>
        <v>4</v>
      </c>
    </row>
    <row r="173" spans="1:18" ht="31.5" x14ac:dyDescent="0.45">
      <c r="A173" s="9">
        <v>173</v>
      </c>
      <c r="B173" s="2" t="s">
        <v>949</v>
      </c>
      <c r="C173" s="3" t="s">
        <v>950</v>
      </c>
      <c r="D173" s="3" t="s">
        <v>951</v>
      </c>
      <c r="E173" s="4">
        <f>IFERROR(INDEX([1]uot!$A$2:$A$40, MATCH("*"&amp;'[1]Personale di appoggio'!$D174&amp;"*", [1]uot!$B$2:$B$40, 0)), "Valore non trovato")</f>
        <v>36</v>
      </c>
      <c r="F173" s="4">
        <f>IF(TRIM('[1]Personale di appoggio'!$F174)=TRIM([1]qualifiche!$E$2),[1]qualifiche!$D$2,
IF(TRIM('[1]Personale di appoggio'!$F174)=TRIM([1]qualifiche!$E$3),[1]qualifiche!$D$3,
IF(TRIM('[1]Personale di appoggio'!$F174)=TRIM([1]qualifiche!$E$4),[1]qualifiche!$D$4,
IF(TRIM('[1]Personale di appoggio'!$F174)=TRIM([1]qualifiche!$E$5),[1]qualifiche!$D$5,
IF(TRIM('[1]Personale di appoggio'!$F174)=TRIM([1]qualifiche!$E$6),[1]qualifiche!$D$6,
IF(TRIM('[1]Personale di appoggio'!$F174)=TRIM([1]qualifiche!$E$7),[1]qualifiche!$D$7,
IF(TRIM('[1]Personale di appoggio'!$F174)=TRIM([1]qualifiche!$E$8),[1]qualifiche!$D$8,
IF(TRIM('[1]Personale di appoggio'!$F174)=TRIM([1]qualifiche!$E$9),[1]qualifiche!$D$9,
IF(TRIM('[1]Personale di appoggio'!$F174)=TRIM([1]qualifiche!$E$10),[1]qualifiche!$D$10,
IF(TRIM('[1]Personale di appoggio'!$F174)=TRIM([1]qualifiche!$E$11),[1]qualifiche!$D$11,""))))))))))</f>
        <v>7</v>
      </c>
      <c r="G173" s="5" t="s">
        <v>952</v>
      </c>
      <c r="H173" s="5" t="s">
        <v>953</v>
      </c>
      <c r="I173" s="6" t="s">
        <v>954</v>
      </c>
      <c r="J173" s="7">
        <f>IF('[1]Personale di appoggio'!J174="X",1,0)</f>
        <v>0</v>
      </c>
      <c r="K173" s="7">
        <f>IF('[1]Personale di appoggio'!K174="X",1,0)</f>
        <v>0</v>
      </c>
      <c r="L173" s="7">
        <f>IF('[1]Personale di appoggio'!L174="X",1,0)</f>
        <v>0</v>
      </c>
      <c r="M173" s="7">
        <f>IF('[1]Personale di appoggio'!M174="X",1,0)</f>
        <v>0</v>
      </c>
      <c r="N173" s="3"/>
      <c r="O173" s="3"/>
      <c r="P173" s="11" t="str">
        <f>IF('[1]Personale di appoggio'!$P174="","",'[1]Personale di appoggio'!$P174)</f>
        <v/>
      </c>
      <c r="Q173" s="4" t="s">
        <v>6</v>
      </c>
      <c r="R173" s="4">
        <f t="shared" si="2"/>
        <v>4</v>
      </c>
    </row>
    <row r="174" spans="1:18" ht="31.5" x14ac:dyDescent="0.45">
      <c r="A174" s="9">
        <v>174</v>
      </c>
      <c r="B174" s="2" t="s">
        <v>955</v>
      </c>
      <c r="C174" s="3" t="s">
        <v>956</v>
      </c>
      <c r="D174" s="3" t="s">
        <v>957</v>
      </c>
      <c r="E174" s="4">
        <f>IFERROR(INDEX([1]uot!$A$2:$A$40, MATCH("*"&amp;'[1]Personale di appoggio'!$D175&amp;"*", [1]uot!$B$2:$B$40, 0)), "Valore non trovato")</f>
        <v>36</v>
      </c>
      <c r="F174" s="4">
        <f>IF(TRIM('[1]Personale di appoggio'!$F175)=TRIM([1]qualifiche!$E$2),[1]qualifiche!$D$2,
IF(TRIM('[1]Personale di appoggio'!$F175)=TRIM([1]qualifiche!$E$3),[1]qualifiche!$D$3,
IF(TRIM('[1]Personale di appoggio'!$F175)=TRIM([1]qualifiche!$E$4),[1]qualifiche!$D$4,
IF(TRIM('[1]Personale di appoggio'!$F175)=TRIM([1]qualifiche!$E$5),[1]qualifiche!$D$5,
IF(TRIM('[1]Personale di appoggio'!$F175)=TRIM([1]qualifiche!$E$6),[1]qualifiche!$D$6,
IF(TRIM('[1]Personale di appoggio'!$F175)=TRIM([1]qualifiche!$E$7),[1]qualifiche!$D$7,
IF(TRIM('[1]Personale di appoggio'!$F175)=TRIM([1]qualifiche!$E$8),[1]qualifiche!$D$8,
IF(TRIM('[1]Personale di appoggio'!$F175)=TRIM([1]qualifiche!$E$9),[1]qualifiche!$D$9,
IF(TRIM('[1]Personale di appoggio'!$F175)=TRIM([1]qualifiche!$E$10),[1]qualifiche!$D$10,
IF(TRIM('[1]Personale di appoggio'!$F175)=TRIM([1]qualifiche!$E$11),[1]qualifiche!$D$11,""))))))))))</f>
        <v>7</v>
      </c>
      <c r="G174" s="5" t="s">
        <v>958</v>
      </c>
      <c r="H174" s="5" t="s">
        <v>959</v>
      </c>
      <c r="I174" s="6" t="s">
        <v>960</v>
      </c>
      <c r="J174" s="7">
        <f>IF('[1]Personale di appoggio'!J175="X",1,0)</f>
        <v>0</v>
      </c>
      <c r="K174" s="7">
        <f>IF('[1]Personale di appoggio'!K175="X",1,0)</f>
        <v>0</v>
      </c>
      <c r="L174" s="7">
        <f>IF('[1]Personale di appoggio'!L175="X",1,0)</f>
        <v>0</v>
      </c>
      <c r="M174" s="7">
        <f>IF('[1]Personale di appoggio'!M175="X",1,0)</f>
        <v>0</v>
      </c>
      <c r="N174" s="3"/>
      <c r="O174" s="3"/>
      <c r="P174" s="11" t="str">
        <f>IF('[1]Personale di appoggio'!$P175="","",'[1]Personale di appoggio'!$P175)</f>
        <v/>
      </c>
      <c r="Q174" s="4" t="s">
        <v>6</v>
      </c>
      <c r="R174" s="4">
        <f t="shared" si="2"/>
        <v>4</v>
      </c>
    </row>
    <row r="175" spans="1:18" ht="31.5" x14ac:dyDescent="0.45">
      <c r="A175" s="9">
        <v>175</v>
      </c>
      <c r="B175" s="2" t="s">
        <v>961</v>
      </c>
      <c r="C175" s="3" t="s">
        <v>940</v>
      </c>
      <c r="D175" s="3" t="s">
        <v>962</v>
      </c>
      <c r="E175" s="4">
        <f>IFERROR(INDEX([1]uot!$A$2:$A$40, MATCH("*"&amp;'[1]Personale di appoggio'!$D176&amp;"*", [1]uot!$B$2:$B$40, 0)), "Valore non trovato")</f>
        <v>36</v>
      </c>
      <c r="F175" s="4">
        <f>IF(TRIM('[1]Personale di appoggio'!$F176)=TRIM([1]qualifiche!$E$2),[1]qualifiche!$D$2,
IF(TRIM('[1]Personale di appoggio'!$F176)=TRIM([1]qualifiche!$E$3),[1]qualifiche!$D$3,
IF(TRIM('[1]Personale di appoggio'!$F176)=TRIM([1]qualifiche!$E$4),[1]qualifiche!$D$4,
IF(TRIM('[1]Personale di appoggio'!$F176)=TRIM([1]qualifiche!$E$5),[1]qualifiche!$D$5,
IF(TRIM('[1]Personale di appoggio'!$F176)=TRIM([1]qualifiche!$E$6),[1]qualifiche!$D$6,
IF(TRIM('[1]Personale di appoggio'!$F176)=TRIM([1]qualifiche!$E$7),[1]qualifiche!$D$7,
IF(TRIM('[1]Personale di appoggio'!$F176)=TRIM([1]qualifiche!$E$8),[1]qualifiche!$D$8,
IF(TRIM('[1]Personale di appoggio'!$F176)=TRIM([1]qualifiche!$E$9),[1]qualifiche!$D$9,
IF(TRIM('[1]Personale di appoggio'!$F176)=TRIM([1]qualifiche!$E$10),[1]qualifiche!$D$10,
IF(TRIM('[1]Personale di appoggio'!$F176)=TRIM([1]qualifiche!$E$11),[1]qualifiche!$D$11,""))))))))))</f>
        <v>7</v>
      </c>
      <c r="G175" s="5" t="s">
        <v>963</v>
      </c>
      <c r="H175" s="5" t="s">
        <v>964</v>
      </c>
      <c r="I175" s="6" t="s">
        <v>965</v>
      </c>
      <c r="J175" s="7">
        <f>IF('[1]Personale di appoggio'!J176="X",1,0)</f>
        <v>0</v>
      </c>
      <c r="K175" s="7">
        <f>IF('[1]Personale di appoggio'!K176="X",1,0)</f>
        <v>0</v>
      </c>
      <c r="L175" s="7">
        <f>IF('[1]Personale di appoggio'!L176="X",1,0)</f>
        <v>0</v>
      </c>
      <c r="M175" s="7">
        <f>IF('[1]Personale di appoggio'!M176="X",1,0)</f>
        <v>0</v>
      </c>
      <c r="N175" s="3"/>
      <c r="O175" s="3"/>
      <c r="P175" s="11" t="str">
        <f>IF('[1]Personale di appoggio'!$P176="","",'[1]Personale di appoggio'!$P176)</f>
        <v/>
      </c>
      <c r="Q175" s="4" t="s">
        <v>6</v>
      </c>
      <c r="R175" s="4">
        <f t="shared" si="2"/>
        <v>4</v>
      </c>
    </row>
    <row r="176" spans="1:18" ht="31.5" x14ac:dyDescent="0.45">
      <c r="A176" s="9">
        <v>176</v>
      </c>
      <c r="B176" s="2" t="s">
        <v>966</v>
      </c>
      <c r="C176" s="3" t="s">
        <v>967</v>
      </c>
      <c r="D176" s="3" t="s">
        <v>93</v>
      </c>
      <c r="E176" s="4">
        <f>IFERROR(INDEX([1]uot!$A$2:$A$40, MATCH("*"&amp;'[1]Personale di appoggio'!$D177&amp;"*", [1]uot!$B$2:$B$40, 0)), "Valore non trovato")</f>
        <v>36</v>
      </c>
      <c r="F176" s="4">
        <f>IF(TRIM('[1]Personale di appoggio'!$F177)=TRIM([1]qualifiche!$E$2),[1]qualifiche!$D$2,
IF(TRIM('[1]Personale di appoggio'!$F177)=TRIM([1]qualifiche!$E$3),[1]qualifiche!$D$3,
IF(TRIM('[1]Personale di appoggio'!$F177)=TRIM([1]qualifiche!$E$4),[1]qualifiche!$D$4,
IF(TRIM('[1]Personale di appoggio'!$F177)=TRIM([1]qualifiche!$E$5),[1]qualifiche!$D$5,
IF(TRIM('[1]Personale di appoggio'!$F177)=TRIM([1]qualifiche!$E$6),[1]qualifiche!$D$6,
IF(TRIM('[1]Personale di appoggio'!$F177)=TRIM([1]qualifiche!$E$7),[1]qualifiche!$D$7,
IF(TRIM('[1]Personale di appoggio'!$F177)=TRIM([1]qualifiche!$E$8),[1]qualifiche!$D$8,
IF(TRIM('[1]Personale di appoggio'!$F177)=TRIM([1]qualifiche!$E$9),[1]qualifiche!$D$9,
IF(TRIM('[1]Personale di appoggio'!$F177)=TRIM([1]qualifiche!$E$10),[1]qualifiche!$D$10,
IF(TRIM('[1]Personale di appoggio'!$F177)=TRIM([1]qualifiche!$E$11),[1]qualifiche!$D$11,""))))))))))</f>
        <v>7</v>
      </c>
      <c r="G176" s="5" t="s">
        <v>968</v>
      </c>
      <c r="H176" s="5" t="s">
        <v>969</v>
      </c>
      <c r="I176" s="6" t="s">
        <v>970</v>
      </c>
      <c r="J176" s="7">
        <f>IF('[1]Personale di appoggio'!J177="X",1,0)</f>
        <v>0</v>
      </c>
      <c r="K176" s="7">
        <f>IF('[1]Personale di appoggio'!K177="X",1,0)</f>
        <v>0</v>
      </c>
      <c r="L176" s="7">
        <f>IF('[1]Personale di appoggio'!L177="X",1,0)</f>
        <v>0</v>
      </c>
      <c r="M176" s="7">
        <f>IF('[1]Personale di appoggio'!M177="X",1,0)</f>
        <v>0</v>
      </c>
      <c r="N176" s="3"/>
      <c r="O176" s="3"/>
      <c r="P176" s="11" t="str">
        <f>IF('[1]Personale di appoggio'!$P177="","",'[1]Personale di appoggio'!$P177)</f>
        <v/>
      </c>
      <c r="Q176" s="4" t="s">
        <v>6</v>
      </c>
      <c r="R176" s="4">
        <f t="shared" si="2"/>
        <v>4</v>
      </c>
    </row>
    <row r="177" spans="1:18" ht="31.5" x14ac:dyDescent="0.45">
      <c r="A177" s="9">
        <v>177</v>
      </c>
      <c r="B177" s="2" t="s">
        <v>971</v>
      </c>
      <c r="C177" s="3" t="s">
        <v>972</v>
      </c>
      <c r="D177" s="3" t="s">
        <v>632</v>
      </c>
      <c r="E177" s="4">
        <f>IFERROR(INDEX([1]uot!$A$2:$A$40, MATCH("*"&amp;'[1]Personale di appoggio'!$D178&amp;"*", [1]uot!$B$2:$B$40, 0)), "Valore non trovato")</f>
        <v>12</v>
      </c>
      <c r="F177" s="4">
        <f>IF(TRIM('[1]Personale di appoggio'!$F178)=TRIM([1]qualifiche!$E$2),[1]qualifiche!$D$2,
IF(TRIM('[1]Personale di appoggio'!$F178)=TRIM([1]qualifiche!$E$3),[1]qualifiche!$D$3,
IF(TRIM('[1]Personale di appoggio'!$F178)=TRIM([1]qualifiche!$E$4),[1]qualifiche!$D$4,
IF(TRIM('[1]Personale di appoggio'!$F178)=TRIM([1]qualifiche!$E$5),[1]qualifiche!$D$5,
IF(TRIM('[1]Personale di appoggio'!$F178)=TRIM([1]qualifiche!$E$6),[1]qualifiche!$D$6,
IF(TRIM('[1]Personale di appoggio'!$F178)=TRIM([1]qualifiche!$E$7),[1]qualifiche!$D$7,
IF(TRIM('[1]Personale di appoggio'!$F178)=TRIM([1]qualifiche!$E$8),[1]qualifiche!$D$8,
IF(TRIM('[1]Personale di appoggio'!$F178)=TRIM([1]qualifiche!$E$9),[1]qualifiche!$D$9,
IF(TRIM('[1]Personale di appoggio'!$F178)=TRIM([1]qualifiche!$E$10),[1]qualifiche!$D$10,
IF(TRIM('[1]Personale di appoggio'!$F178)=TRIM([1]qualifiche!$E$11),[1]qualifiche!$D$11,""))))))))))</f>
        <v>1</v>
      </c>
      <c r="G177" s="5" t="s">
        <v>973</v>
      </c>
      <c r="H177" s="5" t="s">
        <v>974</v>
      </c>
      <c r="I177" s="6" t="s">
        <v>975</v>
      </c>
      <c r="J177" s="7">
        <f>IF('[1]Personale di appoggio'!J178="X",1,0)</f>
        <v>1</v>
      </c>
      <c r="K177" s="7">
        <f>IF('[1]Personale di appoggio'!K178="X",1,0)</f>
        <v>1</v>
      </c>
      <c r="L177" s="7">
        <f>IF('[1]Personale di appoggio'!L178="X",1,0)</f>
        <v>1</v>
      </c>
      <c r="M177" s="7">
        <f>IF('[1]Personale di appoggio'!M178="X",1,0)</f>
        <v>0</v>
      </c>
      <c r="N177" s="3"/>
      <c r="O177" s="3"/>
      <c r="P177" s="11" t="str">
        <f>IF('[1]Personale di appoggio'!$P178="","",'[1]Personale di appoggio'!$P178)</f>
        <v/>
      </c>
      <c r="Q177" s="4" t="s">
        <v>6</v>
      </c>
      <c r="R177" s="4">
        <f t="shared" si="2"/>
        <v>2</v>
      </c>
    </row>
    <row r="178" spans="1:18" ht="31.5" x14ac:dyDescent="0.45">
      <c r="A178" s="9">
        <v>178</v>
      </c>
      <c r="B178" s="2" t="s">
        <v>976</v>
      </c>
      <c r="C178" s="3" t="s">
        <v>977</v>
      </c>
      <c r="D178" s="3" t="s">
        <v>978</v>
      </c>
      <c r="E178" s="4">
        <f>IFERROR(INDEX([1]uot!$A$2:$A$40, MATCH("*"&amp;'[1]Personale di appoggio'!$D179&amp;"*", [1]uot!$B$2:$B$40, 0)), "Valore non trovato")</f>
        <v>12</v>
      </c>
      <c r="F178" s="4">
        <f>IF(TRIM('[1]Personale di appoggio'!$F179)=TRIM([1]qualifiche!$E$2),[1]qualifiche!$D$2,
IF(TRIM('[1]Personale di appoggio'!$F179)=TRIM([1]qualifiche!$E$3),[1]qualifiche!$D$3,
IF(TRIM('[1]Personale di appoggio'!$F179)=TRIM([1]qualifiche!$E$4),[1]qualifiche!$D$4,
IF(TRIM('[1]Personale di appoggio'!$F179)=TRIM([1]qualifiche!$E$5),[1]qualifiche!$D$5,
IF(TRIM('[1]Personale di appoggio'!$F179)=TRIM([1]qualifiche!$E$6),[1]qualifiche!$D$6,
IF(TRIM('[1]Personale di appoggio'!$F179)=TRIM([1]qualifiche!$E$7),[1]qualifiche!$D$7,
IF(TRIM('[1]Personale di appoggio'!$F179)=TRIM([1]qualifiche!$E$8),[1]qualifiche!$D$8,
IF(TRIM('[1]Personale di appoggio'!$F179)=TRIM([1]qualifiche!$E$9),[1]qualifiche!$D$9,
IF(TRIM('[1]Personale di appoggio'!$F179)=TRIM([1]qualifiche!$E$10),[1]qualifiche!$D$10,
IF(TRIM('[1]Personale di appoggio'!$F179)=TRIM([1]qualifiche!$E$11),[1]qualifiche!$D$11,""))))))))))</f>
        <v>2</v>
      </c>
      <c r="G178" s="5" t="s">
        <v>979</v>
      </c>
      <c r="H178" s="5" t="s">
        <v>980</v>
      </c>
      <c r="I178" s="6" t="s">
        <v>981</v>
      </c>
      <c r="J178" s="7">
        <f>IF('[1]Personale di appoggio'!J179="X",1,0)</f>
        <v>1</v>
      </c>
      <c r="K178" s="7">
        <f>IF('[1]Personale di appoggio'!K179="X",1,0)</f>
        <v>1</v>
      </c>
      <c r="L178" s="7">
        <f>IF('[1]Personale di appoggio'!L179="X",1,0)</f>
        <v>1</v>
      </c>
      <c r="M178" s="7">
        <f>IF('[1]Personale di appoggio'!M179="X",1,0)</f>
        <v>0</v>
      </c>
      <c r="N178" s="3"/>
      <c r="O178" s="3"/>
      <c r="P178" s="11" t="str">
        <f>IF('[1]Personale di appoggio'!$P179="","",'[1]Personale di appoggio'!$P179)</f>
        <v>certificazione ON</v>
      </c>
      <c r="Q178" s="4" t="s">
        <v>6</v>
      </c>
      <c r="R178" s="4">
        <f t="shared" si="2"/>
        <v>2</v>
      </c>
    </row>
    <row r="179" spans="1:18" ht="31.5" x14ac:dyDescent="0.45">
      <c r="A179" s="9">
        <v>179</v>
      </c>
      <c r="B179" s="2" t="s">
        <v>982</v>
      </c>
      <c r="C179" s="3" t="s">
        <v>983</v>
      </c>
      <c r="D179" s="3" t="s">
        <v>324</v>
      </c>
      <c r="E179" s="4">
        <f>IFERROR(INDEX([1]uot!$A$2:$A$40, MATCH("*"&amp;'[1]Personale di appoggio'!$D180&amp;"*", [1]uot!$B$2:$B$40, 0)), "Valore non trovato")</f>
        <v>12</v>
      </c>
      <c r="F179" s="4">
        <f>IF(TRIM('[1]Personale di appoggio'!$F180)=TRIM([1]qualifiche!$E$2),[1]qualifiche!$D$2,
IF(TRIM('[1]Personale di appoggio'!$F180)=TRIM([1]qualifiche!$E$3),[1]qualifiche!$D$3,
IF(TRIM('[1]Personale di appoggio'!$F180)=TRIM([1]qualifiche!$E$4),[1]qualifiche!$D$4,
IF(TRIM('[1]Personale di appoggio'!$F180)=TRIM([1]qualifiche!$E$5),[1]qualifiche!$D$5,
IF(TRIM('[1]Personale di appoggio'!$F180)=TRIM([1]qualifiche!$E$6),[1]qualifiche!$D$6,
IF(TRIM('[1]Personale di appoggio'!$F180)=TRIM([1]qualifiche!$E$7),[1]qualifiche!$D$7,
IF(TRIM('[1]Personale di appoggio'!$F180)=TRIM([1]qualifiche!$E$8),[1]qualifiche!$D$8,
IF(TRIM('[1]Personale di appoggio'!$F180)=TRIM([1]qualifiche!$E$9),[1]qualifiche!$D$9,
IF(TRIM('[1]Personale di appoggio'!$F180)=TRIM([1]qualifiche!$E$10),[1]qualifiche!$D$10,
IF(TRIM('[1]Personale di appoggio'!$F180)=TRIM([1]qualifiche!$E$11),[1]qualifiche!$D$11,""))))))))))</f>
        <v>2</v>
      </c>
      <c r="G179" s="5" t="s">
        <v>984</v>
      </c>
      <c r="H179" s="5" t="s">
        <v>985</v>
      </c>
      <c r="I179" s="6" t="s">
        <v>986</v>
      </c>
      <c r="J179" s="7">
        <f>IF('[1]Personale di appoggio'!J180="X",1,0)</f>
        <v>1</v>
      </c>
      <c r="K179" s="7">
        <f>IF('[1]Personale di appoggio'!K180="X",1,0)</f>
        <v>1</v>
      </c>
      <c r="L179" s="7">
        <f>IF('[1]Personale di appoggio'!L180="X",1,0)</f>
        <v>1</v>
      </c>
      <c r="M179" s="7">
        <f>IF('[1]Personale di appoggio'!M180="X",1,0)</f>
        <v>1</v>
      </c>
      <c r="N179" s="3"/>
      <c r="O179" s="3"/>
      <c r="P179" s="11" t="str">
        <f>IF('[1]Personale di appoggio'!$P180="","",'[1]Personale di appoggio'!$P180)</f>
        <v>certificazione ON</v>
      </c>
      <c r="Q179" s="4" t="s">
        <v>6</v>
      </c>
      <c r="R179" s="4">
        <f t="shared" si="2"/>
        <v>1</v>
      </c>
    </row>
    <row r="180" spans="1:18" ht="31.5" x14ac:dyDescent="0.45">
      <c r="A180" s="9">
        <v>180</v>
      </c>
      <c r="B180" s="2" t="s">
        <v>987</v>
      </c>
      <c r="C180" s="3" t="s">
        <v>988</v>
      </c>
      <c r="D180" s="3" t="s">
        <v>989</v>
      </c>
      <c r="E180" s="4">
        <f>IFERROR(INDEX([1]uot!$A$2:$A$40, MATCH("*"&amp;'[1]Personale di appoggio'!$D181&amp;"*", [1]uot!$B$2:$B$40, 0)), "Valore non trovato")</f>
        <v>12</v>
      </c>
      <c r="F180" s="4">
        <f>IF(TRIM('[1]Personale di appoggio'!$F181)=TRIM([1]qualifiche!$E$2),[1]qualifiche!$D$2,
IF(TRIM('[1]Personale di appoggio'!$F181)=TRIM([1]qualifiche!$E$3),[1]qualifiche!$D$3,
IF(TRIM('[1]Personale di appoggio'!$F181)=TRIM([1]qualifiche!$E$4),[1]qualifiche!$D$4,
IF(TRIM('[1]Personale di appoggio'!$F181)=TRIM([1]qualifiche!$E$5),[1]qualifiche!$D$5,
IF(TRIM('[1]Personale di appoggio'!$F181)=TRIM([1]qualifiche!$E$6),[1]qualifiche!$D$6,
IF(TRIM('[1]Personale di appoggio'!$F181)=TRIM([1]qualifiche!$E$7),[1]qualifiche!$D$7,
IF(TRIM('[1]Personale di appoggio'!$F181)=TRIM([1]qualifiche!$E$8),[1]qualifiche!$D$8,
IF(TRIM('[1]Personale di appoggio'!$F181)=TRIM([1]qualifiche!$E$9),[1]qualifiche!$D$9,
IF(TRIM('[1]Personale di appoggio'!$F181)=TRIM([1]qualifiche!$E$10),[1]qualifiche!$D$10,
IF(TRIM('[1]Personale di appoggio'!$F181)=TRIM([1]qualifiche!$E$11),[1]qualifiche!$D$11,""))))))))))</f>
        <v>2</v>
      </c>
      <c r="G180" s="5" t="s">
        <v>990</v>
      </c>
      <c r="H180" s="5" t="s">
        <v>991</v>
      </c>
      <c r="I180" s="6" t="s">
        <v>992</v>
      </c>
      <c r="J180" s="7">
        <f>IF('[1]Personale di appoggio'!J181="X",1,0)</f>
        <v>1</v>
      </c>
      <c r="K180" s="7">
        <f>IF('[1]Personale di appoggio'!K181="X",1,0)</f>
        <v>1</v>
      </c>
      <c r="L180" s="7">
        <f>IF('[1]Personale di appoggio'!L181="X",1,0)</f>
        <v>1</v>
      </c>
      <c r="M180" s="7">
        <f>IF('[1]Personale di appoggio'!M181="X",1,0)</f>
        <v>0</v>
      </c>
      <c r="N180" s="3"/>
      <c r="O180" s="3"/>
      <c r="P180" s="11" t="str">
        <f>IF('[1]Personale di appoggio'!$P181="","",'[1]Personale di appoggio'!$P181)</f>
        <v/>
      </c>
      <c r="Q180" s="4" t="s">
        <v>6</v>
      </c>
      <c r="R180" s="4">
        <f t="shared" si="2"/>
        <v>2</v>
      </c>
    </row>
    <row r="181" spans="1:18" ht="31.5" x14ac:dyDescent="0.45">
      <c r="A181" s="9">
        <v>181</v>
      </c>
      <c r="B181" s="2" t="s">
        <v>993</v>
      </c>
      <c r="C181" s="3" t="s">
        <v>994</v>
      </c>
      <c r="D181" s="3" t="s">
        <v>995</v>
      </c>
      <c r="E181" s="4">
        <f>IFERROR(INDEX([1]uot!$A$2:$A$40, MATCH("*"&amp;'[1]Personale di appoggio'!$D182&amp;"*", [1]uot!$B$2:$B$40, 0)), "Valore non trovato")</f>
        <v>12</v>
      </c>
      <c r="F181" s="4">
        <f>IF(TRIM('[1]Personale di appoggio'!$F182)=TRIM([1]qualifiche!$E$2),[1]qualifiche!$D$2,
IF(TRIM('[1]Personale di appoggio'!$F182)=TRIM([1]qualifiche!$E$3),[1]qualifiche!$D$3,
IF(TRIM('[1]Personale di appoggio'!$F182)=TRIM([1]qualifiche!$E$4),[1]qualifiche!$D$4,
IF(TRIM('[1]Personale di appoggio'!$F182)=TRIM([1]qualifiche!$E$5),[1]qualifiche!$D$5,
IF(TRIM('[1]Personale di appoggio'!$F182)=TRIM([1]qualifiche!$E$6),[1]qualifiche!$D$6,
IF(TRIM('[1]Personale di appoggio'!$F182)=TRIM([1]qualifiche!$E$7),[1]qualifiche!$D$7,
IF(TRIM('[1]Personale di appoggio'!$F182)=TRIM([1]qualifiche!$E$8),[1]qualifiche!$D$8,
IF(TRIM('[1]Personale di appoggio'!$F182)=TRIM([1]qualifiche!$E$9),[1]qualifiche!$D$9,
IF(TRIM('[1]Personale di appoggio'!$F182)=TRIM([1]qualifiche!$E$10),[1]qualifiche!$D$10,
IF(TRIM('[1]Personale di appoggio'!$F182)=TRIM([1]qualifiche!$E$11),[1]qualifiche!$D$11,""))))))))))</f>
        <v>5</v>
      </c>
      <c r="G181" s="5" t="s">
        <v>996</v>
      </c>
      <c r="H181" s="5" t="s">
        <v>997</v>
      </c>
      <c r="I181" s="6" t="s">
        <v>998</v>
      </c>
      <c r="J181" s="7">
        <f>IF('[1]Personale di appoggio'!J182="X",1,0)</f>
        <v>1</v>
      </c>
      <c r="K181" s="7">
        <f>IF('[1]Personale di appoggio'!K182="X",1,0)</f>
        <v>1</v>
      </c>
      <c r="L181" s="7">
        <f>IF('[1]Personale di appoggio'!L182="X",1,0)</f>
        <v>1</v>
      </c>
      <c r="M181" s="7">
        <f>IF('[1]Personale di appoggio'!M182="X",1,0)</f>
        <v>1</v>
      </c>
      <c r="N181" s="3"/>
      <c r="O181" s="3"/>
      <c r="P181" s="11" t="str">
        <f>IF('[1]Personale di appoggio'!$P182="","",'[1]Personale di appoggio'!$P182)</f>
        <v>certificazione ON</v>
      </c>
      <c r="Q181" s="4" t="s">
        <v>6</v>
      </c>
      <c r="R181" s="4">
        <f t="shared" si="2"/>
        <v>1</v>
      </c>
    </row>
    <row r="182" spans="1:18" ht="31.5" x14ac:dyDescent="0.45">
      <c r="A182" s="9">
        <v>182</v>
      </c>
      <c r="B182" s="2" t="s">
        <v>999</v>
      </c>
      <c r="C182" s="3" t="s">
        <v>1000</v>
      </c>
      <c r="D182" s="3" t="s">
        <v>240</v>
      </c>
      <c r="E182" s="4">
        <f>IFERROR(INDEX([1]uot!$A$2:$A$40, MATCH("*"&amp;'[1]Personale di appoggio'!$D183&amp;"*", [1]uot!$B$2:$B$40, 0)), "Valore non trovato")</f>
        <v>12</v>
      </c>
      <c r="F182" s="4">
        <f>IF(TRIM('[1]Personale di appoggio'!$F183)=TRIM([1]qualifiche!$E$2),[1]qualifiche!$D$2,
IF(TRIM('[1]Personale di appoggio'!$F183)=TRIM([1]qualifiche!$E$3),[1]qualifiche!$D$3,
IF(TRIM('[1]Personale di appoggio'!$F183)=TRIM([1]qualifiche!$E$4),[1]qualifiche!$D$4,
IF(TRIM('[1]Personale di appoggio'!$F183)=TRIM([1]qualifiche!$E$5),[1]qualifiche!$D$5,
IF(TRIM('[1]Personale di appoggio'!$F183)=TRIM([1]qualifiche!$E$6),[1]qualifiche!$D$6,
IF(TRIM('[1]Personale di appoggio'!$F183)=TRIM([1]qualifiche!$E$7),[1]qualifiche!$D$7,
IF(TRIM('[1]Personale di appoggio'!$F183)=TRIM([1]qualifiche!$E$8),[1]qualifiche!$D$8,
IF(TRIM('[1]Personale di appoggio'!$F183)=TRIM([1]qualifiche!$E$9),[1]qualifiche!$D$9,
IF(TRIM('[1]Personale di appoggio'!$F183)=TRIM([1]qualifiche!$E$10),[1]qualifiche!$D$10,
IF(TRIM('[1]Personale di appoggio'!$F183)=TRIM([1]qualifiche!$E$11),[1]qualifiche!$D$11,""))))))))))</f>
        <v>4</v>
      </c>
      <c r="G182" s="5" t="s">
        <v>1001</v>
      </c>
      <c r="H182" s="5" t="s">
        <v>1002</v>
      </c>
      <c r="I182" s="6" t="s">
        <v>1003</v>
      </c>
      <c r="J182" s="7">
        <f>IF('[1]Personale di appoggio'!J183="X",1,0)</f>
        <v>1</v>
      </c>
      <c r="K182" s="7">
        <f>IF('[1]Personale di appoggio'!K183="X",1,0)</f>
        <v>0</v>
      </c>
      <c r="L182" s="7">
        <f>IF('[1]Personale di appoggio'!L183="X",1,0)</f>
        <v>1</v>
      </c>
      <c r="M182" s="7">
        <f>IF('[1]Personale di appoggio'!M183="X",1,0)</f>
        <v>0</v>
      </c>
      <c r="N182" s="3"/>
      <c r="O182" s="3"/>
      <c r="P182" s="11" t="str">
        <f>IF('[1]Personale di appoggio'!$P183="","",'[1]Personale di appoggio'!$P183)</f>
        <v/>
      </c>
      <c r="Q182" s="4" t="s">
        <v>6</v>
      </c>
      <c r="R182" s="4">
        <f t="shared" si="2"/>
        <v>2</v>
      </c>
    </row>
    <row r="183" spans="1:18" ht="31.5" x14ac:dyDescent="0.45">
      <c r="A183" s="9">
        <v>183</v>
      </c>
      <c r="B183" s="2" t="s">
        <v>1004</v>
      </c>
      <c r="C183" s="3" t="s">
        <v>1005</v>
      </c>
      <c r="D183" s="3" t="s">
        <v>1006</v>
      </c>
      <c r="E183" s="4">
        <f>IFERROR(INDEX([1]uot!$A$2:$A$40, MATCH("*"&amp;'[1]Personale di appoggio'!$D184&amp;"*", [1]uot!$B$2:$B$40, 0)), "Valore non trovato")</f>
        <v>12</v>
      </c>
      <c r="F183" s="4">
        <f>IF(TRIM('[1]Personale di appoggio'!$F184)=TRIM([1]qualifiche!$E$2),[1]qualifiche!$D$2,
IF(TRIM('[1]Personale di appoggio'!$F184)=TRIM([1]qualifiche!$E$3),[1]qualifiche!$D$3,
IF(TRIM('[1]Personale di appoggio'!$F184)=TRIM([1]qualifiche!$E$4),[1]qualifiche!$D$4,
IF(TRIM('[1]Personale di appoggio'!$F184)=TRIM([1]qualifiche!$E$5),[1]qualifiche!$D$5,
IF(TRIM('[1]Personale di appoggio'!$F184)=TRIM([1]qualifiche!$E$6),[1]qualifiche!$D$6,
IF(TRIM('[1]Personale di appoggio'!$F184)=TRIM([1]qualifiche!$E$7),[1]qualifiche!$D$7,
IF(TRIM('[1]Personale di appoggio'!$F184)=TRIM([1]qualifiche!$E$8),[1]qualifiche!$D$8,
IF(TRIM('[1]Personale di appoggio'!$F184)=TRIM([1]qualifiche!$E$9),[1]qualifiche!$D$9,
IF(TRIM('[1]Personale di appoggio'!$F184)=TRIM([1]qualifiche!$E$10),[1]qualifiche!$D$10,
IF(TRIM('[1]Personale di appoggio'!$F184)=TRIM([1]qualifiche!$E$11),[1]qualifiche!$D$11,""))))))))))</f>
        <v>4</v>
      </c>
      <c r="G183" s="5" t="s">
        <v>1007</v>
      </c>
      <c r="H183" s="5" t="s">
        <v>1008</v>
      </c>
      <c r="I183" s="6" t="s">
        <v>1009</v>
      </c>
      <c r="J183" s="7">
        <f>IF('[1]Personale di appoggio'!J184="X",1,0)</f>
        <v>1</v>
      </c>
      <c r="K183" s="7">
        <f>IF('[1]Personale di appoggio'!K184="X",1,0)</f>
        <v>0</v>
      </c>
      <c r="L183" s="7">
        <f>IF('[1]Personale di appoggio'!L184="X",1,0)</f>
        <v>1</v>
      </c>
      <c r="M183" s="7">
        <f>IF('[1]Personale di appoggio'!M184="X",1,0)</f>
        <v>1</v>
      </c>
      <c r="N183" s="3"/>
      <c r="O183" s="3"/>
      <c r="P183" s="11" t="str">
        <f>IF('[1]Personale di appoggio'!$P184="","",'[1]Personale di appoggio'!$P184)</f>
        <v/>
      </c>
      <c r="Q183" s="4" t="s">
        <v>6</v>
      </c>
      <c r="R183" s="4">
        <f t="shared" si="2"/>
        <v>2</v>
      </c>
    </row>
    <row r="184" spans="1:18" ht="42.75" x14ac:dyDescent="0.45">
      <c r="A184" s="9">
        <v>184</v>
      </c>
      <c r="B184" s="2" t="s">
        <v>1010</v>
      </c>
      <c r="C184" s="3" t="s">
        <v>1011</v>
      </c>
      <c r="D184" s="3" t="s">
        <v>1012</v>
      </c>
      <c r="E184" s="4">
        <f>IFERROR(INDEX([1]uot!$A$2:$A$40, MATCH("*"&amp;'[1]Personale di appoggio'!$D185&amp;"*", [1]uot!$B$2:$B$40, 0)), "Valore non trovato")</f>
        <v>12</v>
      </c>
      <c r="F184" s="4">
        <f>IF(TRIM('[1]Personale di appoggio'!$F185)=TRIM([1]qualifiche!$E$2),[1]qualifiche!$D$2,
IF(TRIM('[1]Personale di appoggio'!$F185)=TRIM([1]qualifiche!$E$3),[1]qualifiche!$D$3,
IF(TRIM('[1]Personale di appoggio'!$F185)=TRIM([1]qualifiche!$E$4),[1]qualifiche!$D$4,
IF(TRIM('[1]Personale di appoggio'!$F185)=TRIM([1]qualifiche!$E$5),[1]qualifiche!$D$5,
IF(TRIM('[1]Personale di appoggio'!$F185)=TRIM([1]qualifiche!$E$6),[1]qualifiche!$D$6,
IF(TRIM('[1]Personale di appoggio'!$F185)=TRIM([1]qualifiche!$E$7),[1]qualifiche!$D$7,
IF(TRIM('[1]Personale di appoggio'!$F185)=TRIM([1]qualifiche!$E$8),[1]qualifiche!$D$8,
IF(TRIM('[1]Personale di appoggio'!$F185)=TRIM([1]qualifiche!$E$9),[1]qualifiche!$D$9,
IF(TRIM('[1]Personale di appoggio'!$F185)=TRIM([1]qualifiche!$E$10),[1]qualifiche!$D$10,
IF(TRIM('[1]Personale di appoggio'!$F185)=TRIM([1]qualifiche!$E$11),[1]qualifiche!$D$11,""))))))))))</f>
        <v>7</v>
      </c>
      <c r="G184" s="5" t="s">
        <v>1013</v>
      </c>
      <c r="H184" s="5" t="s">
        <v>1014</v>
      </c>
      <c r="I184" s="6" t="s">
        <v>1015</v>
      </c>
      <c r="J184" s="7">
        <f>IF('[1]Personale di appoggio'!J185="X",1,0)</f>
        <v>0</v>
      </c>
      <c r="K184" s="7">
        <f>IF('[1]Personale di appoggio'!K185="X",1,0)</f>
        <v>0</v>
      </c>
      <c r="L184" s="7">
        <f>IF('[1]Personale di appoggio'!L185="X",1,0)</f>
        <v>0</v>
      </c>
      <c r="M184" s="7">
        <f>IF('[1]Personale di appoggio'!M185="X",1,0)</f>
        <v>0</v>
      </c>
      <c r="N184" s="3"/>
      <c r="O184" s="3"/>
      <c r="P184" s="11" t="str">
        <f>IF('[1]Personale di appoggio'!$P185="","",'[1]Personale di appoggio'!$P185)</f>
        <v/>
      </c>
      <c r="Q184" s="4" t="s">
        <v>6</v>
      </c>
      <c r="R184" s="4">
        <f t="shared" si="2"/>
        <v>4</v>
      </c>
    </row>
    <row r="185" spans="1:18" ht="31.5" x14ac:dyDescent="0.45">
      <c r="A185" s="9">
        <v>185</v>
      </c>
      <c r="B185" s="2" t="s">
        <v>1016</v>
      </c>
      <c r="C185" s="3" t="s">
        <v>1017</v>
      </c>
      <c r="D185" s="3" t="s">
        <v>1018</v>
      </c>
      <c r="E185" s="4">
        <f>IFERROR(INDEX([1]uot!$A$2:$A$40, MATCH("*"&amp;'[1]Personale di appoggio'!$D186&amp;"*", [1]uot!$B$2:$B$40, 0)), "Valore non trovato")</f>
        <v>12</v>
      </c>
      <c r="F185" s="4">
        <f>IF(TRIM('[1]Personale di appoggio'!$F186)=TRIM([1]qualifiche!$E$2),[1]qualifiche!$D$2,
IF(TRIM('[1]Personale di appoggio'!$F186)=TRIM([1]qualifiche!$E$3),[1]qualifiche!$D$3,
IF(TRIM('[1]Personale di appoggio'!$F186)=TRIM([1]qualifiche!$E$4),[1]qualifiche!$D$4,
IF(TRIM('[1]Personale di appoggio'!$F186)=TRIM([1]qualifiche!$E$5),[1]qualifiche!$D$5,
IF(TRIM('[1]Personale di appoggio'!$F186)=TRIM([1]qualifiche!$E$6),[1]qualifiche!$D$6,
IF(TRIM('[1]Personale di appoggio'!$F186)=TRIM([1]qualifiche!$E$7),[1]qualifiche!$D$7,
IF(TRIM('[1]Personale di appoggio'!$F186)=TRIM([1]qualifiche!$E$8),[1]qualifiche!$D$8,
IF(TRIM('[1]Personale di appoggio'!$F186)=TRIM([1]qualifiche!$E$9),[1]qualifiche!$D$9,
IF(TRIM('[1]Personale di appoggio'!$F186)=TRIM([1]qualifiche!$E$10),[1]qualifiche!$D$10,
IF(TRIM('[1]Personale di appoggio'!$F186)=TRIM([1]qualifiche!$E$11),[1]qualifiche!$D$11,""))))))))))</f>
        <v>7</v>
      </c>
      <c r="G185" s="5" t="s">
        <v>1019</v>
      </c>
      <c r="H185" s="5" t="s">
        <v>1020</v>
      </c>
      <c r="I185" s="6" t="s">
        <v>1021</v>
      </c>
      <c r="J185" s="7">
        <f>IF('[1]Personale di appoggio'!J186="X",1,0)</f>
        <v>0</v>
      </c>
      <c r="K185" s="7">
        <f>IF('[1]Personale di appoggio'!K186="X",1,0)</f>
        <v>0</v>
      </c>
      <c r="L185" s="7">
        <f>IF('[1]Personale di appoggio'!L186="X",1,0)</f>
        <v>0</v>
      </c>
      <c r="M185" s="7">
        <f>IF('[1]Personale di appoggio'!M186="X",1,0)</f>
        <v>0</v>
      </c>
      <c r="N185" s="3"/>
      <c r="O185" s="3"/>
      <c r="P185" s="11" t="str">
        <f>IF('[1]Personale di appoggio'!$P186="","",'[1]Personale di appoggio'!$P186)</f>
        <v/>
      </c>
      <c r="Q185" s="4" t="s">
        <v>6</v>
      </c>
      <c r="R185" s="4">
        <f t="shared" si="2"/>
        <v>4</v>
      </c>
    </row>
    <row r="186" spans="1:18" ht="31.5" x14ac:dyDescent="0.45">
      <c r="A186" s="9">
        <v>186</v>
      </c>
      <c r="B186" s="2" t="s">
        <v>1022</v>
      </c>
      <c r="C186" s="3" t="s">
        <v>1023</v>
      </c>
      <c r="D186" s="3" t="s">
        <v>1024</v>
      </c>
      <c r="E186" s="4">
        <f>IFERROR(INDEX([1]uot!$A$2:$A$40, MATCH("*"&amp;'[1]Personale di appoggio'!$D187&amp;"*", [1]uot!$B$2:$B$40, 0)), "Valore non trovato")</f>
        <v>12</v>
      </c>
      <c r="F186" s="4">
        <f>IF(TRIM('[1]Personale di appoggio'!$F187)=TRIM([1]qualifiche!$E$2),[1]qualifiche!$D$2,
IF(TRIM('[1]Personale di appoggio'!$F187)=TRIM([1]qualifiche!$E$3),[1]qualifiche!$D$3,
IF(TRIM('[1]Personale di appoggio'!$F187)=TRIM([1]qualifiche!$E$4),[1]qualifiche!$D$4,
IF(TRIM('[1]Personale di appoggio'!$F187)=TRIM([1]qualifiche!$E$5),[1]qualifiche!$D$5,
IF(TRIM('[1]Personale di appoggio'!$F187)=TRIM([1]qualifiche!$E$6),[1]qualifiche!$D$6,
IF(TRIM('[1]Personale di appoggio'!$F187)=TRIM([1]qualifiche!$E$7),[1]qualifiche!$D$7,
IF(TRIM('[1]Personale di appoggio'!$F187)=TRIM([1]qualifiche!$E$8),[1]qualifiche!$D$8,
IF(TRIM('[1]Personale di appoggio'!$F187)=TRIM([1]qualifiche!$E$9),[1]qualifiche!$D$9,
IF(TRIM('[1]Personale di appoggio'!$F187)=TRIM([1]qualifiche!$E$10),[1]qualifiche!$D$10,
IF(TRIM('[1]Personale di appoggio'!$F187)=TRIM([1]qualifiche!$E$11),[1]qualifiche!$D$11,""))))))))))</f>
        <v>7</v>
      </c>
      <c r="G186" s="5" t="s">
        <v>1025</v>
      </c>
      <c r="H186" s="5" t="s">
        <v>1026</v>
      </c>
      <c r="I186" s="6" t="s">
        <v>1027</v>
      </c>
      <c r="J186" s="7">
        <f>IF('[1]Personale di appoggio'!J187="X",1,0)</f>
        <v>0</v>
      </c>
      <c r="K186" s="7">
        <f>IF('[1]Personale di appoggio'!K187="X",1,0)</f>
        <v>0</v>
      </c>
      <c r="L186" s="7">
        <f>IF('[1]Personale di appoggio'!L187="X",1,0)</f>
        <v>0</v>
      </c>
      <c r="M186" s="7">
        <f>IF('[1]Personale di appoggio'!M187="X",1,0)</f>
        <v>0</v>
      </c>
      <c r="N186" s="3"/>
      <c r="O186" s="3"/>
      <c r="P186" s="11" t="str">
        <f>IF('[1]Personale di appoggio'!$P187="","",'[1]Personale di appoggio'!$P187)</f>
        <v/>
      </c>
      <c r="Q186" s="4" t="s">
        <v>6</v>
      </c>
      <c r="R186" s="4">
        <f t="shared" si="2"/>
        <v>4</v>
      </c>
    </row>
    <row r="187" spans="1:18" ht="31.5" x14ac:dyDescent="0.45">
      <c r="A187" s="9">
        <v>187</v>
      </c>
      <c r="B187" s="2" t="s">
        <v>1028</v>
      </c>
      <c r="C187" s="3" t="s">
        <v>1029</v>
      </c>
      <c r="D187" s="3" t="s">
        <v>1030</v>
      </c>
      <c r="E187" s="4">
        <f>IFERROR(INDEX([1]uot!$A$2:$A$40, MATCH("*"&amp;'[1]Personale di appoggio'!$D188&amp;"*", [1]uot!$B$2:$B$40, 0)), "Valore non trovato")</f>
        <v>12</v>
      </c>
      <c r="F187" s="4">
        <f>IF(TRIM('[1]Personale di appoggio'!$F188)=TRIM([1]qualifiche!$E$2),[1]qualifiche!$D$2,
IF(TRIM('[1]Personale di appoggio'!$F188)=TRIM([1]qualifiche!$E$3),[1]qualifiche!$D$3,
IF(TRIM('[1]Personale di appoggio'!$F188)=TRIM([1]qualifiche!$E$4),[1]qualifiche!$D$4,
IF(TRIM('[1]Personale di appoggio'!$F188)=TRIM([1]qualifiche!$E$5),[1]qualifiche!$D$5,
IF(TRIM('[1]Personale di appoggio'!$F188)=TRIM([1]qualifiche!$E$6),[1]qualifiche!$D$6,
IF(TRIM('[1]Personale di appoggio'!$F188)=TRIM([1]qualifiche!$E$7),[1]qualifiche!$D$7,
IF(TRIM('[1]Personale di appoggio'!$F188)=TRIM([1]qualifiche!$E$8),[1]qualifiche!$D$8,
IF(TRIM('[1]Personale di appoggio'!$F188)=TRIM([1]qualifiche!$E$9),[1]qualifiche!$D$9,
IF(TRIM('[1]Personale di appoggio'!$F188)=TRIM([1]qualifiche!$E$10),[1]qualifiche!$D$10,
IF(TRIM('[1]Personale di appoggio'!$F188)=TRIM([1]qualifiche!$E$11),[1]qualifiche!$D$11,""))))))))))</f>
        <v>7</v>
      </c>
      <c r="G187" s="5" t="s">
        <v>1031</v>
      </c>
      <c r="H187" s="5" t="s">
        <v>1032</v>
      </c>
      <c r="I187" s="6" t="s">
        <v>1033</v>
      </c>
      <c r="J187" s="7">
        <f>IF('[1]Personale di appoggio'!J188="X",1,0)</f>
        <v>0</v>
      </c>
      <c r="K187" s="7">
        <f>IF('[1]Personale di appoggio'!K188="X",1,0)</f>
        <v>0</v>
      </c>
      <c r="L187" s="7">
        <f>IF('[1]Personale di appoggio'!L188="X",1,0)</f>
        <v>0</v>
      </c>
      <c r="M187" s="7">
        <f>IF('[1]Personale di appoggio'!M188="X",1,0)</f>
        <v>0</v>
      </c>
      <c r="N187" s="3"/>
      <c r="O187" s="3"/>
      <c r="P187" s="11" t="str">
        <f>IF('[1]Personale di appoggio'!$P188="","",'[1]Personale di appoggio'!$P188)</f>
        <v/>
      </c>
      <c r="Q187" s="4" t="s">
        <v>6</v>
      </c>
      <c r="R187" s="4">
        <f t="shared" si="2"/>
        <v>4</v>
      </c>
    </row>
    <row r="188" spans="1:18" ht="31.5" x14ac:dyDescent="0.45">
      <c r="A188" s="9">
        <v>188</v>
      </c>
      <c r="B188" s="2" t="s">
        <v>1034</v>
      </c>
      <c r="C188" s="3" t="s">
        <v>1035</v>
      </c>
      <c r="D188" s="3" t="s">
        <v>1036</v>
      </c>
      <c r="E188" s="4">
        <f>IFERROR(INDEX([1]uot!$A$2:$A$40, MATCH("*"&amp;'[1]Personale di appoggio'!$D189&amp;"*", [1]uot!$B$2:$B$40, 0)), "Valore non trovato")</f>
        <v>5</v>
      </c>
      <c r="F188" s="4">
        <f>IF(TRIM('[1]Personale di appoggio'!$F189)=TRIM([1]qualifiche!$E$2),[1]qualifiche!$D$2,
IF(TRIM('[1]Personale di appoggio'!$F189)=TRIM([1]qualifiche!$E$3),[1]qualifiche!$D$3,
IF(TRIM('[1]Personale di appoggio'!$F189)=TRIM([1]qualifiche!$E$4),[1]qualifiche!$D$4,
IF(TRIM('[1]Personale di appoggio'!$F189)=TRIM([1]qualifiche!$E$5),[1]qualifiche!$D$5,
IF(TRIM('[1]Personale di appoggio'!$F189)=TRIM([1]qualifiche!$E$6),[1]qualifiche!$D$6,
IF(TRIM('[1]Personale di appoggio'!$F189)=TRIM([1]qualifiche!$E$7),[1]qualifiche!$D$7,
IF(TRIM('[1]Personale di appoggio'!$F189)=TRIM([1]qualifiche!$E$8),[1]qualifiche!$D$8,
IF(TRIM('[1]Personale di appoggio'!$F189)=TRIM([1]qualifiche!$E$9),[1]qualifiche!$D$9,
IF(TRIM('[1]Personale di appoggio'!$F189)=TRIM([1]qualifiche!$E$10),[1]qualifiche!$D$10,
IF(TRIM('[1]Personale di appoggio'!$F189)=TRIM([1]qualifiche!$E$11),[1]qualifiche!$D$11,""))))))))))</f>
        <v>1</v>
      </c>
      <c r="G188" s="5" t="s">
        <v>1037</v>
      </c>
      <c r="H188" s="5" t="s">
        <v>1038</v>
      </c>
      <c r="I188" s="6" t="s">
        <v>1039</v>
      </c>
      <c r="J188" s="7">
        <f>IF('[1]Personale di appoggio'!J189="X",1,0)</f>
        <v>0</v>
      </c>
      <c r="K188" s="7">
        <f>IF('[1]Personale di appoggio'!K189="X",1,0)</f>
        <v>0</v>
      </c>
      <c r="L188" s="7">
        <f>IF('[1]Personale di appoggio'!L189="X",1,0)</f>
        <v>0</v>
      </c>
      <c r="M188" s="7">
        <f>IF('[1]Personale di appoggio'!M189="X",1,0)</f>
        <v>0</v>
      </c>
      <c r="N188" s="3"/>
      <c r="O188" s="3"/>
      <c r="P188" s="11" t="str">
        <f>IF('[1]Personale di appoggio'!$P189="","",'[1]Personale di appoggio'!$P189)</f>
        <v/>
      </c>
      <c r="Q188" s="4" t="s">
        <v>6</v>
      </c>
      <c r="R188" s="4">
        <f t="shared" si="2"/>
        <v>4</v>
      </c>
    </row>
    <row r="189" spans="1:18" ht="31.5" x14ac:dyDescent="0.45">
      <c r="A189" s="9">
        <v>189</v>
      </c>
      <c r="B189" s="2" t="s">
        <v>1040</v>
      </c>
      <c r="C189" s="3" t="s">
        <v>1041</v>
      </c>
      <c r="D189" s="3" t="s">
        <v>1042</v>
      </c>
      <c r="E189" s="4">
        <f>IFERROR(INDEX([1]uot!$A$2:$A$40, MATCH("*"&amp;'[1]Personale di appoggio'!$D190&amp;"*", [1]uot!$B$2:$B$40, 0)), "Valore non trovato")</f>
        <v>5</v>
      </c>
      <c r="F189" s="4">
        <f>IF(TRIM('[1]Personale di appoggio'!$F190)=TRIM([1]qualifiche!$E$2),[1]qualifiche!$D$2,
IF(TRIM('[1]Personale di appoggio'!$F190)=TRIM([1]qualifiche!$E$3),[1]qualifiche!$D$3,
IF(TRIM('[1]Personale di appoggio'!$F190)=TRIM([1]qualifiche!$E$4),[1]qualifiche!$D$4,
IF(TRIM('[1]Personale di appoggio'!$F190)=TRIM([1]qualifiche!$E$5),[1]qualifiche!$D$5,
IF(TRIM('[1]Personale di appoggio'!$F190)=TRIM([1]qualifiche!$E$6),[1]qualifiche!$D$6,
IF(TRIM('[1]Personale di appoggio'!$F190)=TRIM([1]qualifiche!$E$7),[1]qualifiche!$D$7,
IF(TRIM('[1]Personale di appoggio'!$F190)=TRIM([1]qualifiche!$E$8),[1]qualifiche!$D$8,
IF(TRIM('[1]Personale di appoggio'!$F190)=TRIM([1]qualifiche!$E$9),[1]qualifiche!$D$9,
IF(TRIM('[1]Personale di appoggio'!$F190)=TRIM([1]qualifiche!$E$10),[1]qualifiche!$D$10,
IF(TRIM('[1]Personale di appoggio'!$F190)=TRIM([1]qualifiche!$E$11),[1]qualifiche!$D$11,""))))))))))</f>
        <v>2</v>
      </c>
      <c r="G189" s="5" t="s">
        <v>1043</v>
      </c>
      <c r="H189" s="5" t="s">
        <v>1044</v>
      </c>
      <c r="I189" s="6" t="s">
        <v>1045</v>
      </c>
      <c r="J189" s="7">
        <f>IF('[1]Personale di appoggio'!J190="X",1,0)</f>
        <v>0</v>
      </c>
      <c r="K189" s="7">
        <f>IF('[1]Personale di appoggio'!K190="X",1,0)</f>
        <v>0</v>
      </c>
      <c r="L189" s="7">
        <f>IF('[1]Personale di appoggio'!L190="X",1,0)</f>
        <v>0</v>
      </c>
      <c r="M189" s="7">
        <f>IF('[1]Personale di appoggio'!M190="X",1,0)</f>
        <v>0</v>
      </c>
      <c r="N189" s="3"/>
      <c r="O189" s="3"/>
      <c r="P189" s="11" t="str">
        <f>IF('[1]Personale di appoggio'!$P190="","",'[1]Personale di appoggio'!$P190)</f>
        <v/>
      </c>
      <c r="Q189" s="4" t="s">
        <v>6</v>
      </c>
      <c r="R189" s="4">
        <f t="shared" si="2"/>
        <v>4</v>
      </c>
    </row>
    <row r="190" spans="1:18" ht="31.5" x14ac:dyDescent="0.45">
      <c r="A190" s="9">
        <v>190</v>
      </c>
      <c r="B190" s="2" t="s">
        <v>1046</v>
      </c>
      <c r="C190" s="3" t="s">
        <v>1047</v>
      </c>
      <c r="D190" s="3" t="s">
        <v>1048</v>
      </c>
      <c r="E190" s="4">
        <f>IFERROR(INDEX([1]uot!$A$2:$A$40, MATCH("*"&amp;'[1]Personale di appoggio'!$D191&amp;"*", [1]uot!$B$2:$B$40, 0)), "Valore non trovato")</f>
        <v>5</v>
      </c>
      <c r="F190" s="4">
        <f>IF(TRIM('[1]Personale di appoggio'!$F191)=TRIM([1]qualifiche!$E$2),[1]qualifiche!$D$2,
IF(TRIM('[1]Personale di appoggio'!$F191)=TRIM([1]qualifiche!$E$3),[1]qualifiche!$D$3,
IF(TRIM('[1]Personale di appoggio'!$F191)=TRIM([1]qualifiche!$E$4),[1]qualifiche!$D$4,
IF(TRIM('[1]Personale di appoggio'!$F191)=TRIM([1]qualifiche!$E$5),[1]qualifiche!$D$5,
IF(TRIM('[1]Personale di appoggio'!$F191)=TRIM([1]qualifiche!$E$6),[1]qualifiche!$D$6,
IF(TRIM('[1]Personale di appoggio'!$F191)=TRIM([1]qualifiche!$E$7),[1]qualifiche!$D$7,
IF(TRIM('[1]Personale di appoggio'!$F191)=TRIM([1]qualifiche!$E$8),[1]qualifiche!$D$8,
IF(TRIM('[1]Personale di appoggio'!$F191)=TRIM([1]qualifiche!$E$9),[1]qualifiche!$D$9,
IF(TRIM('[1]Personale di appoggio'!$F191)=TRIM([1]qualifiche!$E$10),[1]qualifiche!$D$10,
IF(TRIM('[1]Personale di appoggio'!$F191)=TRIM([1]qualifiche!$E$11),[1]qualifiche!$D$11,""))))))))))</f>
        <v>2</v>
      </c>
      <c r="G190" s="5" t="s">
        <v>1049</v>
      </c>
      <c r="H190" s="5" t="s">
        <v>1050</v>
      </c>
      <c r="I190" s="6" t="s">
        <v>1051</v>
      </c>
      <c r="J190" s="7">
        <f>IF('[1]Personale di appoggio'!J191="X",1,0)</f>
        <v>0</v>
      </c>
      <c r="K190" s="7">
        <f>IF('[1]Personale di appoggio'!K191="X",1,0)</f>
        <v>0</v>
      </c>
      <c r="L190" s="7">
        <f>IF('[1]Personale di appoggio'!L191="X",1,0)</f>
        <v>0</v>
      </c>
      <c r="M190" s="7">
        <f>IF('[1]Personale di appoggio'!M191="X",1,0)</f>
        <v>0</v>
      </c>
      <c r="N190" s="3"/>
      <c r="O190" s="3"/>
      <c r="P190" s="11" t="str">
        <f>IF('[1]Personale di appoggio'!$P191="","",'[1]Personale di appoggio'!$P191)</f>
        <v/>
      </c>
      <c r="Q190" s="4" t="s">
        <v>6</v>
      </c>
      <c r="R190" s="4">
        <f t="shared" si="2"/>
        <v>4</v>
      </c>
    </row>
    <row r="191" spans="1:18" ht="31.5" x14ac:dyDescent="0.45">
      <c r="A191" s="9">
        <v>191</v>
      </c>
      <c r="B191" s="2" t="s">
        <v>1052</v>
      </c>
      <c r="C191" s="3" t="s">
        <v>1053</v>
      </c>
      <c r="D191" s="3" t="s">
        <v>205</v>
      </c>
      <c r="E191" s="4">
        <f>IFERROR(INDEX([1]uot!$A$2:$A$40, MATCH("*"&amp;'[1]Personale di appoggio'!$D192&amp;"*", [1]uot!$B$2:$B$40, 0)), "Valore non trovato")</f>
        <v>5</v>
      </c>
      <c r="F191" s="4">
        <f>IF(TRIM('[1]Personale di appoggio'!$F192)=TRIM([1]qualifiche!$E$2),[1]qualifiche!$D$2,
IF(TRIM('[1]Personale di appoggio'!$F192)=TRIM([1]qualifiche!$E$3),[1]qualifiche!$D$3,
IF(TRIM('[1]Personale di appoggio'!$F192)=TRIM([1]qualifiche!$E$4),[1]qualifiche!$D$4,
IF(TRIM('[1]Personale di appoggio'!$F192)=TRIM([1]qualifiche!$E$5),[1]qualifiche!$D$5,
IF(TRIM('[1]Personale di appoggio'!$F192)=TRIM([1]qualifiche!$E$6),[1]qualifiche!$D$6,
IF(TRIM('[1]Personale di appoggio'!$F192)=TRIM([1]qualifiche!$E$7),[1]qualifiche!$D$7,
IF(TRIM('[1]Personale di appoggio'!$F192)=TRIM([1]qualifiche!$E$8),[1]qualifiche!$D$8,
IF(TRIM('[1]Personale di appoggio'!$F192)=TRIM([1]qualifiche!$E$9),[1]qualifiche!$D$9,
IF(TRIM('[1]Personale di appoggio'!$F192)=TRIM([1]qualifiche!$E$10),[1]qualifiche!$D$10,
IF(TRIM('[1]Personale di appoggio'!$F192)=TRIM([1]qualifiche!$E$11),[1]qualifiche!$D$11,""))))))))))</f>
        <v>2</v>
      </c>
      <c r="G191" s="5" t="s">
        <v>1054</v>
      </c>
      <c r="H191" s="5" t="s">
        <v>1055</v>
      </c>
      <c r="I191" s="6" t="s">
        <v>1056</v>
      </c>
      <c r="J191" s="7">
        <f>IF('[1]Personale di appoggio'!J192="X",1,0)</f>
        <v>0</v>
      </c>
      <c r="K191" s="7">
        <f>IF('[1]Personale di appoggio'!K192="X",1,0)</f>
        <v>0</v>
      </c>
      <c r="L191" s="7">
        <f>IF('[1]Personale di appoggio'!L192="X",1,0)</f>
        <v>0</v>
      </c>
      <c r="M191" s="7">
        <f>IF('[1]Personale di appoggio'!M192="X",1,0)</f>
        <v>0</v>
      </c>
      <c r="N191" s="3"/>
      <c r="O191" s="3"/>
      <c r="P191" s="11" t="str">
        <f>IF('[1]Personale di appoggio'!$P192="","",'[1]Personale di appoggio'!$P192)</f>
        <v/>
      </c>
      <c r="Q191" s="4" t="s">
        <v>6</v>
      </c>
      <c r="R191" s="4">
        <f t="shared" si="2"/>
        <v>4</v>
      </c>
    </row>
    <row r="192" spans="1:18" ht="42.75" x14ac:dyDescent="0.45">
      <c r="A192" s="9">
        <v>192</v>
      </c>
      <c r="B192" s="2" t="s">
        <v>1057</v>
      </c>
      <c r="C192" s="3" t="s">
        <v>1058</v>
      </c>
      <c r="D192" s="3" t="s">
        <v>205</v>
      </c>
      <c r="E192" s="4">
        <f>IFERROR(INDEX([1]uot!$A$2:$A$40, MATCH("*"&amp;'[1]Personale di appoggio'!$D193&amp;"*", [1]uot!$B$2:$B$40, 0)), "Valore non trovato")</f>
        <v>5</v>
      </c>
      <c r="F192" s="4">
        <f>IF(TRIM('[1]Personale di appoggio'!$F193)=TRIM([1]qualifiche!$E$2),[1]qualifiche!$D$2,
IF(TRIM('[1]Personale di appoggio'!$F193)=TRIM([1]qualifiche!$E$3),[1]qualifiche!$D$3,
IF(TRIM('[1]Personale di appoggio'!$F193)=TRIM([1]qualifiche!$E$4),[1]qualifiche!$D$4,
IF(TRIM('[1]Personale di appoggio'!$F193)=TRIM([1]qualifiche!$E$5),[1]qualifiche!$D$5,
IF(TRIM('[1]Personale di appoggio'!$F193)=TRIM([1]qualifiche!$E$6),[1]qualifiche!$D$6,
IF(TRIM('[1]Personale di appoggio'!$F193)=TRIM([1]qualifiche!$E$7),[1]qualifiche!$D$7,
IF(TRIM('[1]Personale di appoggio'!$F193)=TRIM([1]qualifiche!$E$8),[1]qualifiche!$D$8,
IF(TRIM('[1]Personale di appoggio'!$F193)=TRIM([1]qualifiche!$E$9),[1]qualifiche!$D$9,
IF(TRIM('[1]Personale di appoggio'!$F193)=TRIM([1]qualifiche!$E$10),[1]qualifiche!$D$10,
IF(TRIM('[1]Personale di appoggio'!$F193)=TRIM([1]qualifiche!$E$11),[1]qualifiche!$D$11,""))))))))))</f>
        <v>2</v>
      </c>
      <c r="G192" s="5" t="s">
        <v>1059</v>
      </c>
      <c r="H192" s="5" t="s">
        <v>1060</v>
      </c>
      <c r="I192" s="6" t="s">
        <v>1061</v>
      </c>
      <c r="J192" s="7">
        <f>IF('[1]Personale di appoggio'!J193="X",1,0)</f>
        <v>0</v>
      </c>
      <c r="K192" s="7">
        <f>IF('[1]Personale di appoggio'!K193="X",1,0)</f>
        <v>0</v>
      </c>
      <c r="L192" s="7">
        <f>IF('[1]Personale di appoggio'!L193="X",1,0)</f>
        <v>0</v>
      </c>
      <c r="M192" s="7">
        <f>IF('[1]Personale di appoggio'!M193="X",1,0)</f>
        <v>0</v>
      </c>
      <c r="N192" s="3"/>
      <c r="O192" s="3"/>
      <c r="P192" s="11" t="str">
        <f>IF('[1]Personale di appoggio'!$P193="","",'[1]Personale di appoggio'!$P193)</f>
        <v/>
      </c>
      <c r="Q192" s="4" t="s">
        <v>6</v>
      </c>
      <c r="R192" s="4">
        <f t="shared" si="2"/>
        <v>4</v>
      </c>
    </row>
    <row r="193" spans="1:18" ht="31.5" x14ac:dyDescent="0.45">
      <c r="A193" s="9">
        <v>193</v>
      </c>
      <c r="B193" s="2" t="s">
        <v>1062</v>
      </c>
      <c r="C193" s="3" t="s">
        <v>1063</v>
      </c>
      <c r="D193" s="3" t="s">
        <v>1064</v>
      </c>
      <c r="E193" s="4">
        <f>IFERROR(INDEX([1]uot!$A$2:$A$40, MATCH("*"&amp;'[1]Personale di appoggio'!$D194&amp;"*", [1]uot!$B$2:$B$40, 0)), "Valore non trovato")</f>
        <v>5</v>
      </c>
      <c r="F193" s="4">
        <f>IF(TRIM('[1]Personale di appoggio'!$F194)=TRIM([1]qualifiche!$E$2),[1]qualifiche!$D$2,
IF(TRIM('[1]Personale di appoggio'!$F194)=TRIM([1]qualifiche!$E$3),[1]qualifiche!$D$3,
IF(TRIM('[1]Personale di appoggio'!$F194)=TRIM([1]qualifiche!$E$4),[1]qualifiche!$D$4,
IF(TRIM('[1]Personale di appoggio'!$F194)=TRIM([1]qualifiche!$E$5),[1]qualifiche!$D$5,
IF(TRIM('[1]Personale di appoggio'!$F194)=TRIM([1]qualifiche!$E$6),[1]qualifiche!$D$6,
IF(TRIM('[1]Personale di appoggio'!$F194)=TRIM([1]qualifiche!$E$7),[1]qualifiche!$D$7,
IF(TRIM('[1]Personale di appoggio'!$F194)=TRIM([1]qualifiche!$E$8),[1]qualifiche!$D$8,
IF(TRIM('[1]Personale di appoggio'!$F194)=TRIM([1]qualifiche!$E$9),[1]qualifiche!$D$9,
IF(TRIM('[1]Personale di appoggio'!$F194)=TRIM([1]qualifiche!$E$10),[1]qualifiche!$D$10,
IF(TRIM('[1]Personale di appoggio'!$F194)=TRIM([1]qualifiche!$E$11),[1]qualifiche!$D$11,""))))))))))</f>
        <v>2</v>
      </c>
      <c r="G193" s="5" t="s">
        <v>1065</v>
      </c>
      <c r="H193" s="5" t="s">
        <v>1066</v>
      </c>
      <c r="I193" s="6" t="s">
        <v>1067</v>
      </c>
      <c r="J193" s="7">
        <f>IF('[1]Personale di appoggio'!J194="X",1,0)</f>
        <v>0</v>
      </c>
      <c r="K193" s="7">
        <f>IF('[1]Personale di appoggio'!K194="X",1,0)</f>
        <v>0</v>
      </c>
      <c r="L193" s="7">
        <f>IF('[1]Personale di appoggio'!L194="X",1,0)</f>
        <v>0</v>
      </c>
      <c r="M193" s="7">
        <f>IF('[1]Personale di appoggio'!M194="X",1,0)</f>
        <v>0</v>
      </c>
      <c r="N193" s="3"/>
      <c r="O193" s="3"/>
      <c r="P193" s="11" t="str">
        <f>IF('[1]Personale di appoggio'!$P194="","",'[1]Personale di appoggio'!$P194)</f>
        <v/>
      </c>
      <c r="Q193" s="4" t="s">
        <v>6</v>
      </c>
      <c r="R193" s="4">
        <f t="shared" si="2"/>
        <v>4</v>
      </c>
    </row>
    <row r="194" spans="1:18" ht="31.5" x14ac:dyDescent="0.45">
      <c r="A194" s="9">
        <v>194</v>
      </c>
      <c r="B194" s="2" t="s">
        <v>1068</v>
      </c>
      <c r="C194" s="3" t="s">
        <v>1069</v>
      </c>
      <c r="D194" s="3" t="s">
        <v>181</v>
      </c>
      <c r="E194" s="4">
        <f>IFERROR(INDEX([1]uot!$A$2:$A$40, MATCH("*"&amp;'[1]Personale di appoggio'!$D195&amp;"*", [1]uot!$B$2:$B$40, 0)), "Valore non trovato")</f>
        <v>5</v>
      </c>
      <c r="F194" s="4">
        <f>IF(TRIM('[1]Personale di appoggio'!$F195)=TRIM([1]qualifiche!$E$2),[1]qualifiche!$D$2,
IF(TRIM('[1]Personale di appoggio'!$F195)=TRIM([1]qualifiche!$E$3),[1]qualifiche!$D$3,
IF(TRIM('[1]Personale di appoggio'!$F195)=TRIM([1]qualifiche!$E$4),[1]qualifiche!$D$4,
IF(TRIM('[1]Personale di appoggio'!$F195)=TRIM([1]qualifiche!$E$5),[1]qualifiche!$D$5,
IF(TRIM('[1]Personale di appoggio'!$F195)=TRIM([1]qualifiche!$E$6),[1]qualifiche!$D$6,
IF(TRIM('[1]Personale di appoggio'!$F195)=TRIM([1]qualifiche!$E$7),[1]qualifiche!$D$7,
IF(TRIM('[1]Personale di appoggio'!$F195)=TRIM([1]qualifiche!$E$8),[1]qualifiche!$D$8,
IF(TRIM('[1]Personale di appoggio'!$F195)=TRIM([1]qualifiche!$E$9),[1]qualifiche!$D$9,
IF(TRIM('[1]Personale di appoggio'!$F195)=TRIM([1]qualifiche!$E$10),[1]qualifiche!$D$10,
IF(TRIM('[1]Personale di appoggio'!$F195)=TRIM([1]qualifiche!$E$11),[1]qualifiche!$D$11,""))))))))))</f>
        <v>2</v>
      </c>
      <c r="G194" s="5" t="s">
        <v>1070</v>
      </c>
      <c r="H194" s="5" t="s">
        <v>1071</v>
      </c>
      <c r="I194" s="6" t="s">
        <v>1072</v>
      </c>
      <c r="J194" s="7">
        <f>IF('[1]Personale di appoggio'!J195="X",1,0)</f>
        <v>0</v>
      </c>
      <c r="K194" s="7">
        <f>IF('[1]Personale di appoggio'!K195="X",1,0)</f>
        <v>0</v>
      </c>
      <c r="L194" s="7">
        <f>IF('[1]Personale di appoggio'!L195="X",1,0)</f>
        <v>0</v>
      </c>
      <c r="M194" s="7">
        <f>IF('[1]Personale di appoggio'!M195="X",1,0)</f>
        <v>0</v>
      </c>
      <c r="N194" s="3"/>
      <c r="O194" s="3"/>
      <c r="P194" s="11" t="str">
        <f>IF('[1]Personale di appoggio'!$P195="","",'[1]Personale di appoggio'!$P195)</f>
        <v/>
      </c>
      <c r="Q194" s="4" t="s">
        <v>6</v>
      </c>
      <c r="R194" s="4">
        <f t="shared" ref="R194:R257" si="3">IF(COUNTIF($J194:$M194,"1")= 4, 1, IF(COUNTIF($J194:$M194,"1")&gt;0,2,4))</f>
        <v>4</v>
      </c>
    </row>
    <row r="195" spans="1:18" ht="42.75" x14ac:dyDescent="0.45">
      <c r="A195" s="9">
        <v>195</v>
      </c>
      <c r="B195" s="2" t="s">
        <v>1073</v>
      </c>
      <c r="C195" s="3" t="s">
        <v>1074</v>
      </c>
      <c r="D195" s="3" t="s">
        <v>234</v>
      </c>
      <c r="E195" s="4">
        <f>IFERROR(INDEX([1]uot!$A$2:$A$40, MATCH("*"&amp;'[1]Personale di appoggio'!$D196&amp;"*", [1]uot!$B$2:$B$40, 0)), "Valore non trovato")</f>
        <v>5</v>
      </c>
      <c r="F195" s="4">
        <f>IF(TRIM('[1]Personale di appoggio'!$F196)=TRIM([1]qualifiche!$E$2),[1]qualifiche!$D$2,
IF(TRIM('[1]Personale di appoggio'!$F196)=TRIM([1]qualifiche!$E$3),[1]qualifiche!$D$3,
IF(TRIM('[1]Personale di appoggio'!$F196)=TRIM([1]qualifiche!$E$4),[1]qualifiche!$D$4,
IF(TRIM('[1]Personale di appoggio'!$F196)=TRIM([1]qualifiche!$E$5),[1]qualifiche!$D$5,
IF(TRIM('[1]Personale di appoggio'!$F196)=TRIM([1]qualifiche!$E$6),[1]qualifiche!$D$6,
IF(TRIM('[1]Personale di appoggio'!$F196)=TRIM([1]qualifiche!$E$7),[1]qualifiche!$D$7,
IF(TRIM('[1]Personale di appoggio'!$F196)=TRIM([1]qualifiche!$E$8),[1]qualifiche!$D$8,
IF(TRIM('[1]Personale di appoggio'!$F196)=TRIM([1]qualifiche!$E$9),[1]qualifiche!$D$9,
IF(TRIM('[1]Personale di appoggio'!$F196)=TRIM([1]qualifiche!$E$10),[1]qualifiche!$D$10,
IF(TRIM('[1]Personale di appoggio'!$F196)=TRIM([1]qualifiche!$E$11),[1]qualifiche!$D$11,""))))))))))</f>
        <v>3</v>
      </c>
      <c r="G195" s="5" t="s">
        <v>1075</v>
      </c>
      <c r="H195" s="5" t="s">
        <v>1076</v>
      </c>
      <c r="I195" s="6" t="s">
        <v>1077</v>
      </c>
      <c r="J195" s="7">
        <f>IF('[1]Personale di appoggio'!J196="X",1,0)</f>
        <v>0</v>
      </c>
      <c r="K195" s="7">
        <f>IF('[1]Personale di appoggio'!K196="X",1,0)</f>
        <v>0</v>
      </c>
      <c r="L195" s="7">
        <f>IF('[1]Personale di appoggio'!L196="X",1,0)</f>
        <v>0</v>
      </c>
      <c r="M195" s="7">
        <f>IF('[1]Personale di appoggio'!M196="X",1,0)</f>
        <v>0</v>
      </c>
      <c r="N195" s="3"/>
      <c r="O195" s="3"/>
      <c r="P195" s="11" t="str">
        <f>IF('[1]Personale di appoggio'!$P196="","",'[1]Personale di appoggio'!$P196)</f>
        <v/>
      </c>
      <c r="Q195" s="4" t="s">
        <v>6</v>
      </c>
      <c r="R195" s="4">
        <f t="shared" si="3"/>
        <v>4</v>
      </c>
    </row>
    <row r="196" spans="1:18" ht="31.5" x14ac:dyDescent="0.45">
      <c r="A196" s="9">
        <v>196</v>
      </c>
      <c r="B196" s="2" t="s">
        <v>1078</v>
      </c>
      <c r="C196" s="3" t="s">
        <v>1079</v>
      </c>
      <c r="D196" s="3" t="s">
        <v>1012</v>
      </c>
      <c r="E196" s="4">
        <f>IFERROR(INDEX([1]uot!$A$2:$A$40, MATCH("*"&amp;'[1]Personale di appoggio'!$D197&amp;"*", [1]uot!$B$2:$B$40, 0)), "Valore non trovato")</f>
        <v>5</v>
      </c>
      <c r="F196" s="4">
        <f>IF(TRIM('[1]Personale di appoggio'!$F197)=TRIM([1]qualifiche!$E$2),[1]qualifiche!$D$2,
IF(TRIM('[1]Personale di appoggio'!$F197)=TRIM([1]qualifiche!$E$3),[1]qualifiche!$D$3,
IF(TRIM('[1]Personale di appoggio'!$F197)=TRIM([1]qualifiche!$E$4),[1]qualifiche!$D$4,
IF(TRIM('[1]Personale di appoggio'!$F197)=TRIM([1]qualifiche!$E$5),[1]qualifiche!$D$5,
IF(TRIM('[1]Personale di appoggio'!$F197)=TRIM([1]qualifiche!$E$6),[1]qualifiche!$D$6,
IF(TRIM('[1]Personale di appoggio'!$F197)=TRIM([1]qualifiche!$E$7),[1]qualifiche!$D$7,
IF(TRIM('[1]Personale di appoggio'!$F197)=TRIM([1]qualifiche!$E$8),[1]qualifiche!$D$8,
IF(TRIM('[1]Personale di appoggio'!$F197)=TRIM([1]qualifiche!$E$9),[1]qualifiche!$D$9,
IF(TRIM('[1]Personale di appoggio'!$F197)=TRIM([1]qualifiche!$E$10),[1]qualifiche!$D$10,
IF(TRIM('[1]Personale di appoggio'!$F197)=TRIM([1]qualifiche!$E$11),[1]qualifiche!$D$11,""))))))))))</f>
        <v>3</v>
      </c>
      <c r="G196" s="5" t="s">
        <v>1080</v>
      </c>
      <c r="H196" s="5" t="s">
        <v>1081</v>
      </c>
      <c r="I196" s="6" t="s">
        <v>1082</v>
      </c>
      <c r="J196" s="7">
        <f>IF('[1]Personale di appoggio'!J197="X",1,0)</f>
        <v>0</v>
      </c>
      <c r="K196" s="7">
        <f>IF('[1]Personale di appoggio'!K197="X",1,0)</f>
        <v>0</v>
      </c>
      <c r="L196" s="7">
        <f>IF('[1]Personale di appoggio'!L197="X",1,0)</f>
        <v>0</v>
      </c>
      <c r="M196" s="7">
        <f>IF('[1]Personale di appoggio'!M197="X",1,0)</f>
        <v>0</v>
      </c>
      <c r="N196" s="3"/>
      <c r="O196" s="3"/>
      <c r="P196" s="11" t="str">
        <f>IF('[1]Personale di appoggio'!$P197="","",'[1]Personale di appoggio'!$P197)</f>
        <v/>
      </c>
      <c r="Q196" s="4" t="s">
        <v>6</v>
      </c>
      <c r="R196" s="4">
        <f t="shared" si="3"/>
        <v>4</v>
      </c>
    </row>
    <row r="197" spans="1:18" ht="42.75" x14ac:dyDescent="0.45">
      <c r="A197" s="9">
        <v>197</v>
      </c>
      <c r="B197" s="2" t="s">
        <v>1083</v>
      </c>
      <c r="C197" s="3" t="s">
        <v>1084</v>
      </c>
      <c r="D197" s="3" t="s">
        <v>1085</v>
      </c>
      <c r="E197" s="4">
        <f>IFERROR(INDEX([1]uot!$A$2:$A$40, MATCH("*"&amp;'[1]Personale di appoggio'!$D198&amp;"*", [1]uot!$B$2:$B$40, 0)), "Valore non trovato")</f>
        <v>5</v>
      </c>
      <c r="F197" s="4">
        <f>IF(TRIM('[1]Personale di appoggio'!$F198)=TRIM([1]qualifiche!$E$2),[1]qualifiche!$D$2,
IF(TRIM('[1]Personale di appoggio'!$F198)=TRIM([1]qualifiche!$E$3),[1]qualifiche!$D$3,
IF(TRIM('[1]Personale di appoggio'!$F198)=TRIM([1]qualifiche!$E$4),[1]qualifiche!$D$4,
IF(TRIM('[1]Personale di appoggio'!$F198)=TRIM([1]qualifiche!$E$5),[1]qualifiche!$D$5,
IF(TRIM('[1]Personale di appoggio'!$F198)=TRIM([1]qualifiche!$E$6),[1]qualifiche!$D$6,
IF(TRIM('[1]Personale di appoggio'!$F198)=TRIM([1]qualifiche!$E$7),[1]qualifiche!$D$7,
IF(TRIM('[1]Personale di appoggio'!$F198)=TRIM([1]qualifiche!$E$8),[1]qualifiche!$D$8,
IF(TRIM('[1]Personale di appoggio'!$F198)=TRIM([1]qualifiche!$E$9),[1]qualifiche!$D$9,
IF(TRIM('[1]Personale di appoggio'!$F198)=TRIM([1]qualifiche!$E$10),[1]qualifiche!$D$10,
IF(TRIM('[1]Personale di appoggio'!$F198)=TRIM([1]qualifiche!$E$11),[1]qualifiche!$D$11,""))))))))))</f>
        <v>3</v>
      </c>
      <c r="G197" s="5" t="s">
        <v>1086</v>
      </c>
      <c r="H197" s="5" t="s">
        <v>1087</v>
      </c>
      <c r="I197" s="6" t="s">
        <v>1088</v>
      </c>
      <c r="J197" s="7">
        <f>IF('[1]Personale di appoggio'!J198="X",1,0)</f>
        <v>0</v>
      </c>
      <c r="K197" s="7">
        <f>IF('[1]Personale di appoggio'!K198="X",1,0)</f>
        <v>0</v>
      </c>
      <c r="L197" s="7">
        <f>IF('[1]Personale di appoggio'!L198="X",1,0)</f>
        <v>0</v>
      </c>
      <c r="M197" s="7">
        <f>IF('[1]Personale di appoggio'!M198="X",1,0)</f>
        <v>0</v>
      </c>
      <c r="N197" s="3"/>
      <c r="O197" s="3"/>
      <c r="P197" s="11" t="str">
        <f>IF('[1]Personale di appoggio'!$P198="","",'[1]Personale di appoggio'!$P198)</f>
        <v/>
      </c>
      <c r="Q197" s="4" t="s">
        <v>6</v>
      </c>
      <c r="R197" s="4">
        <f t="shared" si="3"/>
        <v>4</v>
      </c>
    </row>
    <row r="198" spans="1:18" ht="31.5" x14ac:dyDescent="0.45">
      <c r="A198" s="9">
        <v>198</v>
      </c>
      <c r="B198" s="2" t="s">
        <v>1089</v>
      </c>
      <c r="C198" s="3" t="s">
        <v>1090</v>
      </c>
      <c r="D198" s="3" t="s">
        <v>1091</v>
      </c>
      <c r="E198" s="4">
        <f>IFERROR(INDEX([1]uot!$A$2:$A$40, MATCH("*"&amp;'[1]Personale di appoggio'!$D199&amp;"*", [1]uot!$B$2:$B$40, 0)), "Valore non trovato")</f>
        <v>5</v>
      </c>
      <c r="F198" s="4">
        <f>IF(TRIM('[1]Personale di appoggio'!$F199)=TRIM([1]qualifiche!$E$2),[1]qualifiche!$D$2,
IF(TRIM('[1]Personale di appoggio'!$F199)=TRIM([1]qualifiche!$E$3),[1]qualifiche!$D$3,
IF(TRIM('[1]Personale di appoggio'!$F199)=TRIM([1]qualifiche!$E$4),[1]qualifiche!$D$4,
IF(TRIM('[1]Personale di appoggio'!$F199)=TRIM([1]qualifiche!$E$5),[1]qualifiche!$D$5,
IF(TRIM('[1]Personale di appoggio'!$F199)=TRIM([1]qualifiche!$E$6),[1]qualifiche!$D$6,
IF(TRIM('[1]Personale di appoggio'!$F199)=TRIM([1]qualifiche!$E$7),[1]qualifiche!$D$7,
IF(TRIM('[1]Personale di appoggio'!$F199)=TRIM([1]qualifiche!$E$8),[1]qualifiche!$D$8,
IF(TRIM('[1]Personale di appoggio'!$F199)=TRIM([1]qualifiche!$E$9),[1]qualifiche!$D$9,
IF(TRIM('[1]Personale di appoggio'!$F199)=TRIM([1]qualifiche!$E$10),[1]qualifiche!$D$10,
IF(TRIM('[1]Personale di appoggio'!$F199)=TRIM([1]qualifiche!$E$11),[1]qualifiche!$D$11,""))))))))))</f>
        <v>3</v>
      </c>
      <c r="G198" s="5" t="s">
        <v>1092</v>
      </c>
      <c r="H198" s="5" t="s">
        <v>1093</v>
      </c>
      <c r="I198" s="6" t="s">
        <v>1094</v>
      </c>
      <c r="J198" s="7">
        <f>IF('[1]Personale di appoggio'!J199="X",1,0)</f>
        <v>0</v>
      </c>
      <c r="K198" s="7">
        <f>IF('[1]Personale di appoggio'!K199="X",1,0)</f>
        <v>0</v>
      </c>
      <c r="L198" s="7">
        <f>IF('[1]Personale di appoggio'!L199="X",1,0)</f>
        <v>0</v>
      </c>
      <c r="M198" s="7">
        <f>IF('[1]Personale di appoggio'!M199="X",1,0)</f>
        <v>0</v>
      </c>
      <c r="N198" s="3"/>
      <c r="O198" s="3"/>
      <c r="P198" s="11" t="str">
        <f>IF('[1]Personale di appoggio'!$P199="","",'[1]Personale di appoggio'!$P199)</f>
        <v/>
      </c>
      <c r="Q198" s="4" t="s">
        <v>6</v>
      </c>
      <c r="R198" s="4">
        <f t="shared" si="3"/>
        <v>4</v>
      </c>
    </row>
    <row r="199" spans="1:18" ht="31.5" x14ac:dyDescent="0.45">
      <c r="A199" s="9">
        <v>199</v>
      </c>
      <c r="B199" s="2" t="s">
        <v>1095</v>
      </c>
      <c r="C199" s="3" t="s">
        <v>1096</v>
      </c>
      <c r="D199" s="3" t="s">
        <v>1097</v>
      </c>
      <c r="E199" s="4">
        <f>IFERROR(INDEX([1]uot!$A$2:$A$40, MATCH("*"&amp;'[1]Personale di appoggio'!$D200&amp;"*", [1]uot!$B$2:$B$40, 0)), "Valore non trovato")</f>
        <v>5</v>
      </c>
      <c r="F199" s="4">
        <f>IF(TRIM('[1]Personale di appoggio'!$F200)=TRIM([1]qualifiche!$E$2),[1]qualifiche!$D$2,
IF(TRIM('[1]Personale di appoggio'!$F200)=TRIM([1]qualifiche!$E$3),[1]qualifiche!$D$3,
IF(TRIM('[1]Personale di appoggio'!$F200)=TRIM([1]qualifiche!$E$4),[1]qualifiche!$D$4,
IF(TRIM('[1]Personale di appoggio'!$F200)=TRIM([1]qualifiche!$E$5),[1]qualifiche!$D$5,
IF(TRIM('[1]Personale di appoggio'!$F200)=TRIM([1]qualifiche!$E$6),[1]qualifiche!$D$6,
IF(TRIM('[1]Personale di appoggio'!$F200)=TRIM([1]qualifiche!$E$7),[1]qualifiche!$D$7,
IF(TRIM('[1]Personale di appoggio'!$F200)=TRIM([1]qualifiche!$E$8),[1]qualifiche!$D$8,
IF(TRIM('[1]Personale di appoggio'!$F200)=TRIM([1]qualifiche!$E$9),[1]qualifiche!$D$9,
IF(TRIM('[1]Personale di appoggio'!$F200)=TRIM([1]qualifiche!$E$10),[1]qualifiche!$D$10,
IF(TRIM('[1]Personale di appoggio'!$F200)=TRIM([1]qualifiche!$E$11),[1]qualifiche!$D$11,""))))))))))</f>
        <v>5</v>
      </c>
      <c r="G199" s="5" t="s">
        <v>1098</v>
      </c>
      <c r="H199" s="5" t="s">
        <v>1099</v>
      </c>
      <c r="I199" s="6" t="s">
        <v>1100</v>
      </c>
      <c r="J199" s="7">
        <f>IF('[1]Personale di appoggio'!J200="X",1,0)</f>
        <v>0</v>
      </c>
      <c r="K199" s="7">
        <f>IF('[1]Personale di appoggio'!K200="X",1,0)</f>
        <v>0</v>
      </c>
      <c r="L199" s="7">
        <f>IF('[1]Personale di appoggio'!L200="X",1,0)</f>
        <v>0</v>
      </c>
      <c r="M199" s="7">
        <f>IF('[1]Personale di appoggio'!M200="X",1,0)</f>
        <v>0</v>
      </c>
      <c r="N199" s="3"/>
      <c r="O199" s="3"/>
      <c r="P199" s="11" t="str">
        <f>IF('[1]Personale di appoggio'!$P200="","",'[1]Personale di appoggio'!$P200)</f>
        <v/>
      </c>
      <c r="Q199" s="4" t="s">
        <v>6</v>
      </c>
      <c r="R199" s="4">
        <f t="shared" si="3"/>
        <v>4</v>
      </c>
    </row>
    <row r="200" spans="1:18" ht="31.5" x14ac:dyDescent="0.45">
      <c r="A200" s="9">
        <v>200</v>
      </c>
      <c r="B200" s="2" t="s">
        <v>1101</v>
      </c>
      <c r="C200" s="3" t="s">
        <v>988</v>
      </c>
      <c r="D200" s="3" t="s">
        <v>1102</v>
      </c>
      <c r="E200" s="4">
        <f>IFERROR(INDEX([1]uot!$A$2:$A$40, MATCH("*"&amp;'[1]Personale di appoggio'!$D201&amp;"*", [1]uot!$B$2:$B$40, 0)), "Valore non trovato")</f>
        <v>5</v>
      </c>
      <c r="F200" s="4">
        <f>IF(TRIM('[1]Personale di appoggio'!$F201)=TRIM([1]qualifiche!$E$2),[1]qualifiche!$D$2,
IF(TRIM('[1]Personale di appoggio'!$F201)=TRIM([1]qualifiche!$E$3),[1]qualifiche!$D$3,
IF(TRIM('[1]Personale di appoggio'!$F201)=TRIM([1]qualifiche!$E$4),[1]qualifiche!$D$4,
IF(TRIM('[1]Personale di appoggio'!$F201)=TRIM([1]qualifiche!$E$5),[1]qualifiche!$D$5,
IF(TRIM('[1]Personale di appoggio'!$F201)=TRIM([1]qualifiche!$E$6),[1]qualifiche!$D$6,
IF(TRIM('[1]Personale di appoggio'!$F201)=TRIM([1]qualifiche!$E$7),[1]qualifiche!$D$7,
IF(TRIM('[1]Personale di appoggio'!$F201)=TRIM([1]qualifiche!$E$8),[1]qualifiche!$D$8,
IF(TRIM('[1]Personale di appoggio'!$F201)=TRIM([1]qualifiche!$E$9),[1]qualifiche!$D$9,
IF(TRIM('[1]Personale di appoggio'!$F201)=TRIM([1]qualifiche!$E$10),[1]qualifiche!$D$10,
IF(TRIM('[1]Personale di appoggio'!$F201)=TRIM([1]qualifiche!$E$11),[1]qualifiche!$D$11,""))))))))))</f>
        <v>4</v>
      </c>
      <c r="G200" s="5" t="s">
        <v>1103</v>
      </c>
      <c r="H200" s="5" t="s">
        <v>1104</v>
      </c>
      <c r="I200" s="6" t="s">
        <v>1105</v>
      </c>
      <c r="J200" s="7">
        <f>IF('[1]Personale di appoggio'!J201="X",1,0)</f>
        <v>0</v>
      </c>
      <c r="K200" s="7">
        <f>IF('[1]Personale di appoggio'!K201="X",1,0)</f>
        <v>0</v>
      </c>
      <c r="L200" s="7">
        <f>IF('[1]Personale di appoggio'!L201="X",1,0)</f>
        <v>0</v>
      </c>
      <c r="M200" s="7">
        <f>IF('[1]Personale di appoggio'!M201="X",1,0)</f>
        <v>0</v>
      </c>
      <c r="N200" s="3"/>
      <c r="O200" s="3"/>
      <c r="P200" s="11" t="str">
        <f>IF('[1]Personale di appoggio'!$P201="","",'[1]Personale di appoggio'!$P201)</f>
        <v/>
      </c>
      <c r="Q200" s="4" t="s">
        <v>6</v>
      </c>
      <c r="R200" s="4">
        <f t="shared" si="3"/>
        <v>4</v>
      </c>
    </row>
    <row r="201" spans="1:18" ht="31.5" x14ac:dyDescent="0.45">
      <c r="A201" s="9">
        <v>201</v>
      </c>
      <c r="B201" s="2" t="s">
        <v>1106</v>
      </c>
      <c r="C201" s="3" t="s">
        <v>1107</v>
      </c>
      <c r="D201" s="3" t="s">
        <v>1108</v>
      </c>
      <c r="E201" s="4">
        <f>IFERROR(INDEX([1]uot!$A$2:$A$40, MATCH("*"&amp;'[1]Personale di appoggio'!$D202&amp;"*", [1]uot!$B$2:$B$40, 0)), "Valore non trovato")</f>
        <v>5</v>
      </c>
      <c r="F201" s="4">
        <f>IF(TRIM('[1]Personale di appoggio'!$F202)=TRIM([1]qualifiche!$E$2),[1]qualifiche!$D$2,
IF(TRIM('[1]Personale di appoggio'!$F202)=TRIM([1]qualifiche!$E$3),[1]qualifiche!$D$3,
IF(TRIM('[1]Personale di appoggio'!$F202)=TRIM([1]qualifiche!$E$4),[1]qualifiche!$D$4,
IF(TRIM('[1]Personale di appoggio'!$F202)=TRIM([1]qualifiche!$E$5),[1]qualifiche!$D$5,
IF(TRIM('[1]Personale di appoggio'!$F202)=TRIM([1]qualifiche!$E$6),[1]qualifiche!$D$6,
IF(TRIM('[1]Personale di appoggio'!$F202)=TRIM([1]qualifiche!$E$7),[1]qualifiche!$D$7,
IF(TRIM('[1]Personale di appoggio'!$F202)=TRIM([1]qualifiche!$E$8),[1]qualifiche!$D$8,
IF(TRIM('[1]Personale di appoggio'!$F202)=TRIM([1]qualifiche!$E$9),[1]qualifiche!$D$9,
IF(TRIM('[1]Personale di appoggio'!$F202)=TRIM([1]qualifiche!$E$10),[1]qualifiche!$D$10,
IF(TRIM('[1]Personale di appoggio'!$F202)=TRIM([1]qualifiche!$E$11),[1]qualifiche!$D$11,""))))))))))</f>
        <v>4</v>
      </c>
      <c r="G201" s="5" t="s">
        <v>1109</v>
      </c>
      <c r="H201" s="5" t="s">
        <v>1110</v>
      </c>
      <c r="I201" s="6" t="s">
        <v>1111</v>
      </c>
      <c r="J201" s="7">
        <f>IF('[1]Personale di appoggio'!J202="X",1,0)</f>
        <v>0</v>
      </c>
      <c r="K201" s="7">
        <f>IF('[1]Personale di appoggio'!K202="X",1,0)</f>
        <v>0</v>
      </c>
      <c r="L201" s="7">
        <f>IF('[1]Personale di appoggio'!L202="X",1,0)</f>
        <v>0</v>
      </c>
      <c r="M201" s="7">
        <f>IF('[1]Personale di appoggio'!M202="X",1,0)</f>
        <v>0</v>
      </c>
      <c r="N201" s="3"/>
      <c r="O201" s="3"/>
      <c r="P201" s="11" t="str">
        <f>IF('[1]Personale di appoggio'!$P202="","",'[1]Personale di appoggio'!$P202)</f>
        <v/>
      </c>
      <c r="Q201" s="4" t="s">
        <v>6</v>
      </c>
      <c r="R201" s="4">
        <f t="shared" si="3"/>
        <v>4</v>
      </c>
    </row>
    <row r="202" spans="1:18" ht="42.75" x14ac:dyDescent="0.45">
      <c r="A202" s="9">
        <v>202</v>
      </c>
      <c r="B202" s="2" t="s">
        <v>1112</v>
      </c>
      <c r="C202" s="3" t="s">
        <v>1113</v>
      </c>
      <c r="D202" s="3" t="s">
        <v>951</v>
      </c>
      <c r="E202" s="4">
        <f>IFERROR(INDEX([1]uot!$A$2:$A$40, MATCH("*"&amp;'[1]Personale di appoggio'!$D203&amp;"*", [1]uot!$B$2:$B$40, 0)), "Valore non trovato")</f>
        <v>5</v>
      </c>
      <c r="F202" s="4">
        <f>IF(TRIM('[1]Personale di appoggio'!$F203)=TRIM([1]qualifiche!$E$2),[1]qualifiche!$D$2,
IF(TRIM('[1]Personale di appoggio'!$F203)=TRIM([1]qualifiche!$E$3),[1]qualifiche!$D$3,
IF(TRIM('[1]Personale di appoggio'!$F203)=TRIM([1]qualifiche!$E$4),[1]qualifiche!$D$4,
IF(TRIM('[1]Personale di appoggio'!$F203)=TRIM([1]qualifiche!$E$5),[1]qualifiche!$D$5,
IF(TRIM('[1]Personale di appoggio'!$F203)=TRIM([1]qualifiche!$E$6),[1]qualifiche!$D$6,
IF(TRIM('[1]Personale di appoggio'!$F203)=TRIM([1]qualifiche!$E$7),[1]qualifiche!$D$7,
IF(TRIM('[1]Personale di appoggio'!$F203)=TRIM([1]qualifiche!$E$8),[1]qualifiche!$D$8,
IF(TRIM('[1]Personale di appoggio'!$F203)=TRIM([1]qualifiche!$E$9),[1]qualifiche!$D$9,
IF(TRIM('[1]Personale di appoggio'!$F203)=TRIM([1]qualifiche!$E$10),[1]qualifiche!$D$10,
IF(TRIM('[1]Personale di appoggio'!$F203)=TRIM([1]qualifiche!$E$11),[1]qualifiche!$D$11,""))))))))))</f>
        <v>4</v>
      </c>
      <c r="G202" s="5" t="s">
        <v>1114</v>
      </c>
      <c r="H202" s="5" t="s">
        <v>1115</v>
      </c>
      <c r="I202" s="6" t="s">
        <v>1116</v>
      </c>
      <c r="J202" s="7">
        <f>IF('[1]Personale di appoggio'!J203="X",1,0)</f>
        <v>0</v>
      </c>
      <c r="K202" s="7">
        <f>IF('[1]Personale di appoggio'!K203="X",1,0)</f>
        <v>0</v>
      </c>
      <c r="L202" s="7">
        <f>IF('[1]Personale di appoggio'!L203="X",1,0)</f>
        <v>0</v>
      </c>
      <c r="M202" s="7">
        <f>IF('[1]Personale di appoggio'!M203="X",1,0)</f>
        <v>0</v>
      </c>
      <c r="N202" s="3"/>
      <c r="O202" s="3"/>
      <c r="P202" s="11" t="str">
        <f>IF('[1]Personale di appoggio'!$P203="","",'[1]Personale di appoggio'!$P203)</f>
        <v/>
      </c>
      <c r="Q202" s="4" t="s">
        <v>6</v>
      </c>
      <c r="R202" s="4">
        <f t="shared" si="3"/>
        <v>4</v>
      </c>
    </row>
    <row r="203" spans="1:18" ht="31.5" x14ac:dyDescent="0.45">
      <c r="A203" s="9">
        <v>203</v>
      </c>
      <c r="B203" s="2" t="s">
        <v>1117</v>
      </c>
      <c r="C203" s="3" t="s">
        <v>1118</v>
      </c>
      <c r="D203" s="3" t="s">
        <v>1119</v>
      </c>
      <c r="E203" s="4">
        <f>IFERROR(INDEX([1]uot!$A$2:$A$40, MATCH("*"&amp;'[1]Personale di appoggio'!$D204&amp;"*", [1]uot!$B$2:$B$40, 0)), "Valore non trovato")</f>
        <v>5</v>
      </c>
      <c r="F203" s="4">
        <f>IF(TRIM('[1]Personale di appoggio'!$F204)=TRIM([1]qualifiche!$E$2),[1]qualifiche!$D$2,
IF(TRIM('[1]Personale di appoggio'!$F204)=TRIM([1]qualifiche!$E$3),[1]qualifiche!$D$3,
IF(TRIM('[1]Personale di appoggio'!$F204)=TRIM([1]qualifiche!$E$4),[1]qualifiche!$D$4,
IF(TRIM('[1]Personale di appoggio'!$F204)=TRIM([1]qualifiche!$E$5),[1]qualifiche!$D$5,
IF(TRIM('[1]Personale di appoggio'!$F204)=TRIM([1]qualifiche!$E$6),[1]qualifiche!$D$6,
IF(TRIM('[1]Personale di appoggio'!$F204)=TRIM([1]qualifiche!$E$7),[1]qualifiche!$D$7,
IF(TRIM('[1]Personale di appoggio'!$F204)=TRIM([1]qualifiche!$E$8),[1]qualifiche!$D$8,
IF(TRIM('[1]Personale di appoggio'!$F204)=TRIM([1]qualifiche!$E$9),[1]qualifiche!$D$9,
IF(TRIM('[1]Personale di appoggio'!$F204)=TRIM([1]qualifiche!$E$10),[1]qualifiche!$D$10,
IF(TRIM('[1]Personale di appoggio'!$F204)=TRIM([1]qualifiche!$E$11),[1]qualifiche!$D$11,""))))))))))</f>
        <v>4</v>
      </c>
      <c r="G203" s="5" t="s">
        <v>1120</v>
      </c>
      <c r="H203" s="5" t="s">
        <v>1121</v>
      </c>
      <c r="I203" s="6" t="s">
        <v>1122</v>
      </c>
      <c r="J203" s="7">
        <f>IF('[1]Personale di appoggio'!J204="X",1,0)</f>
        <v>0</v>
      </c>
      <c r="K203" s="7">
        <f>IF('[1]Personale di appoggio'!K204="X",1,0)</f>
        <v>0</v>
      </c>
      <c r="L203" s="7">
        <f>IF('[1]Personale di appoggio'!L204="X",1,0)</f>
        <v>0</v>
      </c>
      <c r="M203" s="7">
        <f>IF('[1]Personale di appoggio'!M204="X",1,0)</f>
        <v>0</v>
      </c>
      <c r="N203" s="3"/>
      <c r="O203" s="3"/>
      <c r="P203" s="11" t="str">
        <f>IF('[1]Personale di appoggio'!$P204="","",'[1]Personale di appoggio'!$P204)</f>
        <v/>
      </c>
      <c r="Q203" s="4" t="s">
        <v>6</v>
      </c>
      <c r="R203" s="4">
        <f t="shared" si="3"/>
        <v>4</v>
      </c>
    </row>
    <row r="204" spans="1:18" ht="31.5" x14ac:dyDescent="0.45">
      <c r="A204" s="9">
        <v>204</v>
      </c>
      <c r="B204" s="2" t="s">
        <v>1123</v>
      </c>
      <c r="C204" s="3" t="s">
        <v>1124</v>
      </c>
      <c r="D204" s="3" t="s">
        <v>1125</v>
      </c>
      <c r="E204" s="4">
        <f>IFERROR(INDEX([1]uot!$A$2:$A$40, MATCH("*"&amp;'[1]Personale di appoggio'!$D205&amp;"*", [1]uot!$B$2:$B$40, 0)), "Valore non trovato")</f>
        <v>5</v>
      </c>
      <c r="F204" s="4">
        <f>IF(TRIM('[1]Personale di appoggio'!$F205)=TRIM([1]qualifiche!$E$2),[1]qualifiche!$D$2,
IF(TRIM('[1]Personale di appoggio'!$F205)=TRIM([1]qualifiche!$E$3),[1]qualifiche!$D$3,
IF(TRIM('[1]Personale di appoggio'!$F205)=TRIM([1]qualifiche!$E$4),[1]qualifiche!$D$4,
IF(TRIM('[1]Personale di appoggio'!$F205)=TRIM([1]qualifiche!$E$5),[1]qualifiche!$D$5,
IF(TRIM('[1]Personale di appoggio'!$F205)=TRIM([1]qualifiche!$E$6),[1]qualifiche!$D$6,
IF(TRIM('[1]Personale di appoggio'!$F205)=TRIM([1]qualifiche!$E$7),[1]qualifiche!$D$7,
IF(TRIM('[1]Personale di appoggio'!$F205)=TRIM([1]qualifiche!$E$8),[1]qualifiche!$D$8,
IF(TRIM('[1]Personale di appoggio'!$F205)=TRIM([1]qualifiche!$E$9),[1]qualifiche!$D$9,
IF(TRIM('[1]Personale di appoggio'!$F205)=TRIM([1]qualifiche!$E$10),[1]qualifiche!$D$10,
IF(TRIM('[1]Personale di appoggio'!$F205)=TRIM([1]qualifiche!$E$11),[1]qualifiche!$D$11,""))))))))))</f>
        <v>4</v>
      </c>
      <c r="G204" s="5" t="s">
        <v>1126</v>
      </c>
      <c r="H204" s="5" t="s">
        <v>1127</v>
      </c>
      <c r="I204" s="6" t="s">
        <v>1128</v>
      </c>
      <c r="J204" s="7">
        <f>IF('[1]Personale di appoggio'!J205="X",1,0)</f>
        <v>0</v>
      </c>
      <c r="K204" s="7">
        <f>IF('[1]Personale di appoggio'!K205="X",1,0)</f>
        <v>0</v>
      </c>
      <c r="L204" s="7">
        <f>IF('[1]Personale di appoggio'!L205="X",1,0)</f>
        <v>0</v>
      </c>
      <c r="M204" s="7">
        <f>IF('[1]Personale di appoggio'!M205="X",1,0)</f>
        <v>0</v>
      </c>
      <c r="N204" s="3"/>
      <c r="O204" s="3"/>
      <c r="P204" s="11" t="str">
        <f>IF('[1]Personale di appoggio'!$P205="","",'[1]Personale di appoggio'!$P205)</f>
        <v/>
      </c>
      <c r="Q204" s="4" t="s">
        <v>6</v>
      </c>
      <c r="R204" s="4">
        <f t="shared" si="3"/>
        <v>4</v>
      </c>
    </row>
    <row r="205" spans="1:18" ht="31.5" x14ac:dyDescent="0.45">
      <c r="A205" s="9">
        <v>205</v>
      </c>
      <c r="B205" s="2" t="s">
        <v>1129</v>
      </c>
      <c r="C205" s="3" t="s">
        <v>1130</v>
      </c>
      <c r="D205" s="3" t="s">
        <v>93</v>
      </c>
      <c r="E205" s="4">
        <f>IFERROR(INDEX([1]uot!$A$2:$A$40, MATCH("*"&amp;'[1]Personale di appoggio'!$D206&amp;"*", [1]uot!$B$2:$B$40, 0)), "Valore non trovato")</f>
        <v>5</v>
      </c>
      <c r="F205" s="4">
        <f>IF(TRIM('[1]Personale di appoggio'!$F206)=TRIM([1]qualifiche!$E$2),[1]qualifiche!$D$2,
IF(TRIM('[1]Personale di appoggio'!$F206)=TRIM([1]qualifiche!$E$3),[1]qualifiche!$D$3,
IF(TRIM('[1]Personale di appoggio'!$F206)=TRIM([1]qualifiche!$E$4),[1]qualifiche!$D$4,
IF(TRIM('[1]Personale di appoggio'!$F206)=TRIM([1]qualifiche!$E$5),[1]qualifiche!$D$5,
IF(TRIM('[1]Personale di appoggio'!$F206)=TRIM([1]qualifiche!$E$6),[1]qualifiche!$D$6,
IF(TRIM('[1]Personale di appoggio'!$F206)=TRIM([1]qualifiche!$E$7),[1]qualifiche!$D$7,
IF(TRIM('[1]Personale di appoggio'!$F206)=TRIM([1]qualifiche!$E$8),[1]qualifiche!$D$8,
IF(TRIM('[1]Personale di appoggio'!$F206)=TRIM([1]qualifiche!$E$9),[1]qualifiche!$D$9,
IF(TRIM('[1]Personale di appoggio'!$F206)=TRIM([1]qualifiche!$E$10),[1]qualifiche!$D$10,
IF(TRIM('[1]Personale di appoggio'!$F206)=TRIM([1]qualifiche!$E$11),[1]qualifiche!$D$11,""))))))))))</f>
        <v>6</v>
      </c>
      <c r="G205" s="5" t="s">
        <v>1131</v>
      </c>
      <c r="H205" s="5" t="s">
        <v>1132</v>
      </c>
      <c r="I205" s="6" t="s">
        <v>1133</v>
      </c>
      <c r="J205" s="7">
        <f>IF('[1]Personale di appoggio'!J206="X",1,0)</f>
        <v>0</v>
      </c>
      <c r="K205" s="7">
        <f>IF('[1]Personale di appoggio'!K206="X",1,0)</f>
        <v>0</v>
      </c>
      <c r="L205" s="7">
        <f>IF('[1]Personale di appoggio'!L206="X",1,0)</f>
        <v>0</v>
      </c>
      <c r="M205" s="7">
        <f>IF('[1]Personale di appoggio'!M206="X",1,0)</f>
        <v>0</v>
      </c>
      <c r="N205" s="3"/>
      <c r="O205" s="3"/>
      <c r="P205" s="11" t="str">
        <f>IF('[1]Personale di appoggio'!$P206="","",'[1]Personale di appoggio'!$P206)</f>
        <v/>
      </c>
      <c r="Q205" s="4" t="s">
        <v>6</v>
      </c>
      <c r="R205" s="4">
        <f t="shared" si="3"/>
        <v>4</v>
      </c>
    </row>
    <row r="206" spans="1:18" ht="31.5" x14ac:dyDescent="0.45">
      <c r="A206" s="9">
        <v>206</v>
      </c>
      <c r="B206" s="2" t="s">
        <v>1134</v>
      </c>
      <c r="C206" s="3" t="s">
        <v>1135</v>
      </c>
      <c r="D206" s="3" t="s">
        <v>234</v>
      </c>
      <c r="E206" s="4">
        <f>IFERROR(INDEX([1]uot!$A$2:$A$40, MATCH("*"&amp;'[1]Personale di appoggio'!$D207&amp;"*", [1]uot!$B$2:$B$40, 0)), "Valore non trovato")</f>
        <v>5</v>
      </c>
      <c r="F206" s="4">
        <f>IF(TRIM('[1]Personale di appoggio'!$F207)=TRIM([1]qualifiche!$E$2),[1]qualifiche!$D$2,
IF(TRIM('[1]Personale di appoggio'!$F207)=TRIM([1]qualifiche!$E$3),[1]qualifiche!$D$3,
IF(TRIM('[1]Personale di appoggio'!$F207)=TRIM([1]qualifiche!$E$4),[1]qualifiche!$D$4,
IF(TRIM('[1]Personale di appoggio'!$F207)=TRIM([1]qualifiche!$E$5),[1]qualifiche!$D$5,
IF(TRIM('[1]Personale di appoggio'!$F207)=TRIM([1]qualifiche!$E$6),[1]qualifiche!$D$6,
IF(TRIM('[1]Personale di appoggio'!$F207)=TRIM([1]qualifiche!$E$7),[1]qualifiche!$D$7,
IF(TRIM('[1]Personale di appoggio'!$F207)=TRIM([1]qualifiche!$E$8),[1]qualifiche!$D$8,
IF(TRIM('[1]Personale di appoggio'!$F207)=TRIM([1]qualifiche!$E$9),[1]qualifiche!$D$9,
IF(TRIM('[1]Personale di appoggio'!$F207)=TRIM([1]qualifiche!$E$10),[1]qualifiche!$D$10,
IF(TRIM('[1]Personale di appoggio'!$F207)=TRIM([1]qualifiche!$E$11),[1]qualifiche!$D$11,""))))))))))</f>
        <v>6</v>
      </c>
      <c r="G206" s="5" t="s">
        <v>1136</v>
      </c>
      <c r="H206" s="5" t="s">
        <v>1137</v>
      </c>
      <c r="I206" s="6" t="s">
        <v>1138</v>
      </c>
      <c r="J206" s="7">
        <f>IF('[1]Personale di appoggio'!J207="X",1,0)</f>
        <v>0</v>
      </c>
      <c r="K206" s="7">
        <f>IF('[1]Personale di appoggio'!K207="X",1,0)</f>
        <v>0</v>
      </c>
      <c r="L206" s="7">
        <f>IF('[1]Personale di appoggio'!L207="X",1,0)</f>
        <v>0</v>
      </c>
      <c r="M206" s="7">
        <f>IF('[1]Personale di appoggio'!M207="X",1,0)</f>
        <v>0</v>
      </c>
      <c r="N206" s="3"/>
      <c r="O206" s="3"/>
      <c r="P206" s="11" t="str">
        <f>IF('[1]Personale di appoggio'!$P207="","",'[1]Personale di appoggio'!$P207)</f>
        <v/>
      </c>
      <c r="Q206" s="4" t="s">
        <v>6</v>
      </c>
      <c r="R206" s="4">
        <f t="shared" si="3"/>
        <v>4</v>
      </c>
    </row>
    <row r="207" spans="1:18" ht="31.5" x14ac:dyDescent="0.45">
      <c r="A207" s="9">
        <v>207</v>
      </c>
      <c r="B207" s="2" t="s">
        <v>1139</v>
      </c>
      <c r="C207" s="3" t="s">
        <v>1140</v>
      </c>
      <c r="D207" s="3" t="s">
        <v>874</v>
      </c>
      <c r="E207" s="4">
        <f>IFERROR(INDEX([1]uot!$A$2:$A$40, MATCH("*"&amp;'[1]Personale di appoggio'!$D208&amp;"*", [1]uot!$B$2:$B$40, 0)), "Valore non trovato")</f>
        <v>5</v>
      </c>
      <c r="F207" s="4">
        <f>IF(TRIM('[1]Personale di appoggio'!$F208)=TRIM([1]qualifiche!$E$2),[1]qualifiche!$D$2,
IF(TRIM('[1]Personale di appoggio'!$F208)=TRIM([1]qualifiche!$E$3),[1]qualifiche!$D$3,
IF(TRIM('[1]Personale di appoggio'!$F208)=TRIM([1]qualifiche!$E$4),[1]qualifiche!$D$4,
IF(TRIM('[1]Personale di appoggio'!$F208)=TRIM([1]qualifiche!$E$5),[1]qualifiche!$D$5,
IF(TRIM('[1]Personale di appoggio'!$F208)=TRIM([1]qualifiche!$E$6),[1]qualifiche!$D$6,
IF(TRIM('[1]Personale di appoggio'!$F208)=TRIM([1]qualifiche!$E$7),[1]qualifiche!$D$7,
IF(TRIM('[1]Personale di appoggio'!$F208)=TRIM([1]qualifiche!$E$8),[1]qualifiche!$D$8,
IF(TRIM('[1]Personale di appoggio'!$F208)=TRIM([1]qualifiche!$E$9),[1]qualifiche!$D$9,
IF(TRIM('[1]Personale di appoggio'!$F208)=TRIM([1]qualifiche!$E$10),[1]qualifiche!$D$10,
IF(TRIM('[1]Personale di appoggio'!$F208)=TRIM([1]qualifiche!$E$11),[1]qualifiche!$D$11,""))))))))))</f>
        <v>6</v>
      </c>
      <c r="G207" s="5" t="s">
        <v>1141</v>
      </c>
      <c r="H207" s="5" t="s">
        <v>1142</v>
      </c>
      <c r="I207" s="6" t="s">
        <v>1143</v>
      </c>
      <c r="J207" s="7">
        <f>IF('[1]Personale di appoggio'!J208="X",1,0)</f>
        <v>0</v>
      </c>
      <c r="K207" s="7">
        <f>IF('[1]Personale di appoggio'!K208="X",1,0)</f>
        <v>0</v>
      </c>
      <c r="L207" s="7">
        <f>IF('[1]Personale di appoggio'!L208="X",1,0)</f>
        <v>0</v>
      </c>
      <c r="M207" s="7">
        <f>IF('[1]Personale di appoggio'!M208="X",1,0)</f>
        <v>0</v>
      </c>
      <c r="N207" s="3"/>
      <c r="O207" s="3"/>
      <c r="P207" s="11" t="str">
        <f>IF('[1]Personale di appoggio'!$P208="","",'[1]Personale di appoggio'!$P208)</f>
        <v/>
      </c>
      <c r="Q207" s="4" t="s">
        <v>6</v>
      </c>
      <c r="R207" s="4">
        <f t="shared" si="3"/>
        <v>4</v>
      </c>
    </row>
    <row r="208" spans="1:18" ht="31.5" x14ac:dyDescent="0.45">
      <c r="A208" s="9">
        <v>208</v>
      </c>
      <c r="B208" s="2" t="s">
        <v>1144</v>
      </c>
      <c r="C208" s="3" t="s">
        <v>1145</v>
      </c>
      <c r="D208" s="3" t="s">
        <v>63</v>
      </c>
      <c r="E208" s="4">
        <f>IFERROR(INDEX([1]uot!$A$2:$A$40, MATCH("*"&amp;'[1]Personale di appoggio'!$D209&amp;"*", [1]uot!$B$2:$B$40, 0)), "Valore non trovato")</f>
        <v>5</v>
      </c>
      <c r="F208" s="4">
        <f>IF(TRIM('[1]Personale di appoggio'!$F209)=TRIM([1]qualifiche!$E$2),[1]qualifiche!$D$2,
IF(TRIM('[1]Personale di appoggio'!$F209)=TRIM([1]qualifiche!$E$3),[1]qualifiche!$D$3,
IF(TRIM('[1]Personale di appoggio'!$F209)=TRIM([1]qualifiche!$E$4),[1]qualifiche!$D$4,
IF(TRIM('[1]Personale di appoggio'!$F209)=TRIM([1]qualifiche!$E$5),[1]qualifiche!$D$5,
IF(TRIM('[1]Personale di appoggio'!$F209)=TRIM([1]qualifiche!$E$6),[1]qualifiche!$D$6,
IF(TRIM('[1]Personale di appoggio'!$F209)=TRIM([1]qualifiche!$E$7),[1]qualifiche!$D$7,
IF(TRIM('[1]Personale di appoggio'!$F209)=TRIM([1]qualifiche!$E$8),[1]qualifiche!$D$8,
IF(TRIM('[1]Personale di appoggio'!$F209)=TRIM([1]qualifiche!$E$9),[1]qualifiche!$D$9,
IF(TRIM('[1]Personale di appoggio'!$F209)=TRIM([1]qualifiche!$E$10),[1]qualifiche!$D$10,
IF(TRIM('[1]Personale di appoggio'!$F209)=TRIM([1]qualifiche!$E$11),[1]qualifiche!$D$11,""))))))))))</f>
        <v>7</v>
      </c>
      <c r="G208" s="5" t="s">
        <v>1146</v>
      </c>
      <c r="H208" s="5" t="s">
        <v>1147</v>
      </c>
      <c r="I208" s="6" t="s">
        <v>1148</v>
      </c>
      <c r="J208" s="7">
        <f>IF('[1]Personale di appoggio'!J209="X",1,0)</f>
        <v>0</v>
      </c>
      <c r="K208" s="7">
        <f>IF('[1]Personale di appoggio'!K209="X",1,0)</f>
        <v>0</v>
      </c>
      <c r="L208" s="7">
        <f>IF('[1]Personale di appoggio'!L209="X",1,0)</f>
        <v>0</v>
      </c>
      <c r="M208" s="7">
        <f>IF('[1]Personale di appoggio'!M209="X",1,0)</f>
        <v>0</v>
      </c>
      <c r="N208" s="3"/>
      <c r="O208" s="3"/>
      <c r="P208" s="11" t="str">
        <f>IF('[1]Personale di appoggio'!$P209="","",'[1]Personale di appoggio'!$P209)</f>
        <v/>
      </c>
      <c r="Q208" s="4" t="s">
        <v>6</v>
      </c>
      <c r="R208" s="4">
        <f t="shared" si="3"/>
        <v>4</v>
      </c>
    </row>
    <row r="209" spans="1:18" ht="31.5" x14ac:dyDescent="0.45">
      <c r="A209" s="9">
        <v>209</v>
      </c>
      <c r="B209" s="2" t="s">
        <v>1149</v>
      </c>
      <c r="C209" s="3" t="s">
        <v>1150</v>
      </c>
      <c r="D209" s="3" t="s">
        <v>1151</v>
      </c>
      <c r="E209" s="4">
        <f>IFERROR(INDEX([1]uot!$A$2:$A$40, MATCH("*"&amp;'[1]Personale di appoggio'!$D210&amp;"*", [1]uot!$B$2:$B$40, 0)), "Valore non trovato")</f>
        <v>5</v>
      </c>
      <c r="F209" s="4">
        <f>IF(TRIM('[1]Personale di appoggio'!$F210)=TRIM([1]qualifiche!$E$2),[1]qualifiche!$D$2,
IF(TRIM('[1]Personale di appoggio'!$F210)=TRIM([1]qualifiche!$E$3),[1]qualifiche!$D$3,
IF(TRIM('[1]Personale di appoggio'!$F210)=TRIM([1]qualifiche!$E$4),[1]qualifiche!$D$4,
IF(TRIM('[1]Personale di appoggio'!$F210)=TRIM([1]qualifiche!$E$5),[1]qualifiche!$D$5,
IF(TRIM('[1]Personale di appoggio'!$F210)=TRIM([1]qualifiche!$E$6),[1]qualifiche!$D$6,
IF(TRIM('[1]Personale di appoggio'!$F210)=TRIM([1]qualifiche!$E$7),[1]qualifiche!$D$7,
IF(TRIM('[1]Personale di appoggio'!$F210)=TRIM([1]qualifiche!$E$8),[1]qualifiche!$D$8,
IF(TRIM('[1]Personale di appoggio'!$F210)=TRIM([1]qualifiche!$E$9),[1]qualifiche!$D$9,
IF(TRIM('[1]Personale di appoggio'!$F210)=TRIM([1]qualifiche!$E$10),[1]qualifiche!$D$10,
IF(TRIM('[1]Personale di appoggio'!$F210)=TRIM([1]qualifiche!$E$11),[1]qualifiche!$D$11,""))))))))))</f>
        <v>7</v>
      </c>
      <c r="G209" s="5" t="s">
        <v>1152</v>
      </c>
      <c r="H209" s="5" t="s">
        <v>1153</v>
      </c>
      <c r="I209" s="6" t="s">
        <v>1154</v>
      </c>
      <c r="J209" s="7">
        <f>IF('[1]Personale di appoggio'!J210="X",1,0)</f>
        <v>0</v>
      </c>
      <c r="K209" s="7">
        <f>IF('[1]Personale di appoggio'!K210="X",1,0)</f>
        <v>0</v>
      </c>
      <c r="L209" s="7">
        <f>IF('[1]Personale di appoggio'!L210="X",1,0)</f>
        <v>0</v>
      </c>
      <c r="M209" s="7">
        <f>IF('[1]Personale di appoggio'!M210="X",1,0)</f>
        <v>0</v>
      </c>
      <c r="N209" s="3"/>
      <c r="O209" s="3"/>
      <c r="P209" s="11" t="str">
        <f>IF('[1]Personale di appoggio'!$P210="","",'[1]Personale di appoggio'!$P210)</f>
        <v/>
      </c>
      <c r="Q209" s="4" t="s">
        <v>6</v>
      </c>
      <c r="R209" s="4">
        <f t="shared" si="3"/>
        <v>4</v>
      </c>
    </row>
    <row r="210" spans="1:18" ht="31.5" x14ac:dyDescent="0.45">
      <c r="A210" s="9">
        <v>210</v>
      </c>
      <c r="B210" s="2" t="s">
        <v>1155</v>
      </c>
      <c r="C210" s="3" t="s">
        <v>1156</v>
      </c>
      <c r="D210" s="3" t="s">
        <v>1157</v>
      </c>
      <c r="E210" s="4">
        <f>IFERROR(INDEX([1]uot!$A$2:$A$40, MATCH("*"&amp;'[1]Personale di appoggio'!$D211&amp;"*", [1]uot!$B$2:$B$40, 0)), "Valore non trovato")</f>
        <v>5</v>
      </c>
      <c r="F210" s="4">
        <f>IF(TRIM('[1]Personale di appoggio'!$F211)=TRIM([1]qualifiche!$E$2),[1]qualifiche!$D$2,
IF(TRIM('[1]Personale di appoggio'!$F211)=TRIM([1]qualifiche!$E$3),[1]qualifiche!$D$3,
IF(TRIM('[1]Personale di appoggio'!$F211)=TRIM([1]qualifiche!$E$4),[1]qualifiche!$D$4,
IF(TRIM('[1]Personale di appoggio'!$F211)=TRIM([1]qualifiche!$E$5),[1]qualifiche!$D$5,
IF(TRIM('[1]Personale di appoggio'!$F211)=TRIM([1]qualifiche!$E$6),[1]qualifiche!$D$6,
IF(TRIM('[1]Personale di appoggio'!$F211)=TRIM([1]qualifiche!$E$7),[1]qualifiche!$D$7,
IF(TRIM('[1]Personale di appoggio'!$F211)=TRIM([1]qualifiche!$E$8),[1]qualifiche!$D$8,
IF(TRIM('[1]Personale di appoggio'!$F211)=TRIM([1]qualifiche!$E$9),[1]qualifiche!$D$9,
IF(TRIM('[1]Personale di appoggio'!$F211)=TRIM([1]qualifiche!$E$10),[1]qualifiche!$D$10,
IF(TRIM('[1]Personale di appoggio'!$F211)=TRIM([1]qualifiche!$E$11),[1]qualifiche!$D$11,""))))))))))</f>
        <v>7</v>
      </c>
      <c r="G210" s="5" t="s">
        <v>1158</v>
      </c>
      <c r="H210" s="5" t="s">
        <v>1159</v>
      </c>
      <c r="I210" s="6" t="s">
        <v>1160</v>
      </c>
      <c r="J210" s="7">
        <f>IF('[1]Personale di appoggio'!J211="X",1,0)</f>
        <v>0</v>
      </c>
      <c r="K210" s="7">
        <f>IF('[1]Personale di appoggio'!K211="X",1,0)</f>
        <v>0</v>
      </c>
      <c r="L210" s="7">
        <f>IF('[1]Personale di appoggio'!L211="X",1,0)</f>
        <v>0</v>
      </c>
      <c r="M210" s="7">
        <f>IF('[1]Personale di appoggio'!M211="X",1,0)</f>
        <v>0</v>
      </c>
      <c r="N210" s="3"/>
      <c r="O210" s="3"/>
      <c r="P210" s="11" t="str">
        <f>IF('[1]Personale di appoggio'!$P211="","",'[1]Personale di appoggio'!$P211)</f>
        <v/>
      </c>
      <c r="Q210" s="4" t="s">
        <v>6</v>
      </c>
      <c r="R210" s="4">
        <f t="shared" si="3"/>
        <v>4</v>
      </c>
    </row>
    <row r="211" spans="1:18" ht="31.5" x14ac:dyDescent="0.45">
      <c r="A211" s="9">
        <v>211</v>
      </c>
      <c r="B211" s="2" t="s">
        <v>1161</v>
      </c>
      <c r="C211" s="3" t="s">
        <v>383</v>
      </c>
      <c r="D211" s="3" t="s">
        <v>1162</v>
      </c>
      <c r="E211" s="4">
        <f>IFERROR(INDEX([1]uot!$A$2:$A$40, MATCH("*"&amp;'[1]Personale di appoggio'!$D212&amp;"*", [1]uot!$B$2:$B$40, 0)), "Valore non trovato")</f>
        <v>5</v>
      </c>
      <c r="F211" s="4">
        <f>IF(TRIM('[1]Personale di appoggio'!$F212)=TRIM([1]qualifiche!$E$2),[1]qualifiche!$D$2,
IF(TRIM('[1]Personale di appoggio'!$F212)=TRIM([1]qualifiche!$E$3),[1]qualifiche!$D$3,
IF(TRIM('[1]Personale di appoggio'!$F212)=TRIM([1]qualifiche!$E$4),[1]qualifiche!$D$4,
IF(TRIM('[1]Personale di appoggio'!$F212)=TRIM([1]qualifiche!$E$5),[1]qualifiche!$D$5,
IF(TRIM('[1]Personale di appoggio'!$F212)=TRIM([1]qualifiche!$E$6),[1]qualifiche!$D$6,
IF(TRIM('[1]Personale di appoggio'!$F212)=TRIM([1]qualifiche!$E$7),[1]qualifiche!$D$7,
IF(TRIM('[1]Personale di appoggio'!$F212)=TRIM([1]qualifiche!$E$8),[1]qualifiche!$D$8,
IF(TRIM('[1]Personale di appoggio'!$F212)=TRIM([1]qualifiche!$E$9),[1]qualifiche!$D$9,
IF(TRIM('[1]Personale di appoggio'!$F212)=TRIM([1]qualifiche!$E$10),[1]qualifiche!$D$10,
IF(TRIM('[1]Personale di appoggio'!$F212)=TRIM([1]qualifiche!$E$11),[1]qualifiche!$D$11,""))))))))))</f>
        <v>7</v>
      </c>
      <c r="G211" s="5" t="s">
        <v>1163</v>
      </c>
      <c r="H211" s="5" t="s">
        <v>1164</v>
      </c>
      <c r="I211" s="6" t="s">
        <v>1165</v>
      </c>
      <c r="J211" s="7">
        <f>IF('[1]Personale di appoggio'!J212="X",1,0)</f>
        <v>0</v>
      </c>
      <c r="K211" s="7">
        <f>IF('[1]Personale di appoggio'!K212="X",1,0)</f>
        <v>0</v>
      </c>
      <c r="L211" s="7">
        <f>IF('[1]Personale di appoggio'!L212="X",1,0)</f>
        <v>0</v>
      </c>
      <c r="M211" s="7">
        <f>IF('[1]Personale di appoggio'!M212="X",1,0)</f>
        <v>0</v>
      </c>
      <c r="N211" s="3"/>
      <c r="O211" s="3"/>
      <c r="P211" s="11" t="str">
        <f>IF('[1]Personale di appoggio'!$P212="","",'[1]Personale di appoggio'!$P212)</f>
        <v/>
      </c>
      <c r="Q211" s="4" t="s">
        <v>6</v>
      </c>
      <c r="R211" s="4">
        <f t="shared" si="3"/>
        <v>4</v>
      </c>
    </row>
    <row r="212" spans="1:18" ht="42.75" x14ac:dyDescent="0.45">
      <c r="A212" s="9">
        <v>212</v>
      </c>
      <c r="B212" s="2" t="s">
        <v>1166</v>
      </c>
      <c r="C212" s="3" t="s">
        <v>1167</v>
      </c>
      <c r="D212" s="3" t="s">
        <v>1168</v>
      </c>
      <c r="E212" s="4">
        <f>IFERROR(INDEX([1]uot!$A$2:$A$40, MATCH("*"&amp;'[1]Personale di appoggio'!$D213&amp;"*", [1]uot!$B$2:$B$40, 0)), "Valore non trovato")</f>
        <v>5</v>
      </c>
      <c r="F212" s="4">
        <f>IF(TRIM('[1]Personale di appoggio'!$F213)=TRIM([1]qualifiche!$E$2),[1]qualifiche!$D$2,
IF(TRIM('[1]Personale di appoggio'!$F213)=TRIM([1]qualifiche!$E$3),[1]qualifiche!$D$3,
IF(TRIM('[1]Personale di appoggio'!$F213)=TRIM([1]qualifiche!$E$4),[1]qualifiche!$D$4,
IF(TRIM('[1]Personale di appoggio'!$F213)=TRIM([1]qualifiche!$E$5),[1]qualifiche!$D$5,
IF(TRIM('[1]Personale di appoggio'!$F213)=TRIM([1]qualifiche!$E$6),[1]qualifiche!$D$6,
IF(TRIM('[1]Personale di appoggio'!$F213)=TRIM([1]qualifiche!$E$7),[1]qualifiche!$D$7,
IF(TRIM('[1]Personale di appoggio'!$F213)=TRIM([1]qualifiche!$E$8),[1]qualifiche!$D$8,
IF(TRIM('[1]Personale di appoggio'!$F213)=TRIM([1]qualifiche!$E$9),[1]qualifiche!$D$9,
IF(TRIM('[1]Personale di appoggio'!$F213)=TRIM([1]qualifiche!$E$10),[1]qualifiche!$D$10,
IF(TRIM('[1]Personale di appoggio'!$F213)=TRIM([1]qualifiche!$E$11),[1]qualifiche!$D$11,""))))))))))</f>
        <v>7</v>
      </c>
      <c r="G212" s="5" t="s">
        <v>1169</v>
      </c>
      <c r="H212" s="5" t="s">
        <v>1170</v>
      </c>
      <c r="I212" s="6" t="s">
        <v>1171</v>
      </c>
      <c r="J212" s="7">
        <f>IF('[1]Personale di appoggio'!J213="X",1,0)</f>
        <v>0</v>
      </c>
      <c r="K212" s="7">
        <f>IF('[1]Personale di appoggio'!K213="X",1,0)</f>
        <v>0</v>
      </c>
      <c r="L212" s="7">
        <f>IF('[1]Personale di appoggio'!L213="X",1,0)</f>
        <v>0</v>
      </c>
      <c r="M212" s="7">
        <f>IF('[1]Personale di appoggio'!M213="X",1,0)</f>
        <v>0</v>
      </c>
      <c r="N212" s="3"/>
      <c r="O212" s="3"/>
      <c r="P212" s="11" t="str">
        <f>IF('[1]Personale di appoggio'!$P213="","",'[1]Personale di appoggio'!$P213)</f>
        <v/>
      </c>
      <c r="Q212" s="4" t="s">
        <v>6</v>
      </c>
      <c r="R212" s="4">
        <f t="shared" si="3"/>
        <v>4</v>
      </c>
    </row>
    <row r="213" spans="1:18" ht="42.75" x14ac:dyDescent="0.45">
      <c r="A213" s="9">
        <v>213</v>
      </c>
      <c r="B213" s="2" t="s">
        <v>1172</v>
      </c>
      <c r="C213" s="3" t="s">
        <v>1173</v>
      </c>
      <c r="D213" s="3" t="s">
        <v>513</v>
      </c>
      <c r="E213" s="4">
        <f>IFERROR(INDEX([1]uot!$A$2:$A$40, MATCH("*"&amp;'[1]Personale di appoggio'!$D214&amp;"*", [1]uot!$B$2:$B$40, 0)), "Valore non trovato")</f>
        <v>5</v>
      </c>
      <c r="F213" s="4">
        <f>IF(TRIM('[1]Personale di appoggio'!$F214)=TRIM([1]qualifiche!$E$2),[1]qualifiche!$D$2,
IF(TRIM('[1]Personale di appoggio'!$F214)=TRIM([1]qualifiche!$E$3),[1]qualifiche!$D$3,
IF(TRIM('[1]Personale di appoggio'!$F214)=TRIM([1]qualifiche!$E$4),[1]qualifiche!$D$4,
IF(TRIM('[1]Personale di appoggio'!$F214)=TRIM([1]qualifiche!$E$5),[1]qualifiche!$D$5,
IF(TRIM('[1]Personale di appoggio'!$F214)=TRIM([1]qualifiche!$E$6),[1]qualifiche!$D$6,
IF(TRIM('[1]Personale di appoggio'!$F214)=TRIM([1]qualifiche!$E$7),[1]qualifiche!$D$7,
IF(TRIM('[1]Personale di appoggio'!$F214)=TRIM([1]qualifiche!$E$8),[1]qualifiche!$D$8,
IF(TRIM('[1]Personale di appoggio'!$F214)=TRIM([1]qualifiche!$E$9),[1]qualifiche!$D$9,
IF(TRIM('[1]Personale di appoggio'!$F214)=TRIM([1]qualifiche!$E$10),[1]qualifiche!$D$10,
IF(TRIM('[1]Personale di appoggio'!$F214)=TRIM([1]qualifiche!$E$11),[1]qualifiche!$D$11,""))))))))))</f>
        <v>7</v>
      </c>
      <c r="G213" s="5" t="s">
        <v>1174</v>
      </c>
      <c r="H213" s="5" t="s">
        <v>1175</v>
      </c>
      <c r="I213" s="6" t="s">
        <v>1176</v>
      </c>
      <c r="J213" s="7">
        <f>IF('[1]Personale di appoggio'!J214="X",1,0)</f>
        <v>0</v>
      </c>
      <c r="K213" s="7">
        <f>IF('[1]Personale di appoggio'!K214="X",1,0)</f>
        <v>0</v>
      </c>
      <c r="L213" s="7">
        <f>IF('[1]Personale di appoggio'!L214="X",1,0)</f>
        <v>0</v>
      </c>
      <c r="M213" s="7">
        <f>IF('[1]Personale di appoggio'!M214="X",1,0)</f>
        <v>0</v>
      </c>
      <c r="N213" s="3"/>
      <c r="O213" s="3"/>
      <c r="P213" s="11" t="str">
        <f>IF('[1]Personale di appoggio'!$P214="","",'[1]Personale di appoggio'!$P214)</f>
        <v/>
      </c>
      <c r="Q213" s="4" t="s">
        <v>6</v>
      </c>
      <c r="R213" s="4">
        <f t="shared" si="3"/>
        <v>4</v>
      </c>
    </row>
    <row r="214" spans="1:18" ht="31.5" x14ac:dyDescent="0.45">
      <c r="A214" s="9">
        <v>214</v>
      </c>
      <c r="B214" s="2" t="s">
        <v>1177</v>
      </c>
      <c r="C214" s="3" t="s">
        <v>1178</v>
      </c>
      <c r="D214" s="3" t="s">
        <v>187</v>
      </c>
      <c r="E214" s="4">
        <f>IFERROR(INDEX([1]uot!$A$2:$A$40, MATCH("*"&amp;'[1]Personale di appoggio'!$D215&amp;"*", [1]uot!$B$2:$B$40, 0)), "Valore non trovato")</f>
        <v>5</v>
      </c>
      <c r="F214" s="4">
        <f>IF(TRIM('[1]Personale di appoggio'!$F215)=TRIM([1]qualifiche!$E$2),[1]qualifiche!$D$2,
IF(TRIM('[1]Personale di appoggio'!$F215)=TRIM([1]qualifiche!$E$3),[1]qualifiche!$D$3,
IF(TRIM('[1]Personale di appoggio'!$F215)=TRIM([1]qualifiche!$E$4),[1]qualifiche!$D$4,
IF(TRIM('[1]Personale di appoggio'!$F215)=TRIM([1]qualifiche!$E$5),[1]qualifiche!$D$5,
IF(TRIM('[1]Personale di appoggio'!$F215)=TRIM([1]qualifiche!$E$6),[1]qualifiche!$D$6,
IF(TRIM('[1]Personale di appoggio'!$F215)=TRIM([1]qualifiche!$E$7),[1]qualifiche!$D$7,
IF(TRIM('[1]Personale di appoggio'!$F215)=TRIM([1]qualifiche!$E$8),[1]qualifiche!$D$8,
IF(TRIM('[1]Personale di appoggio'!$F215)=TRIM([1]qualifiche!$E$9),[1]qualifiche!$D$9,
IF(TRIM('[1]Personale di appoggio'!$F215)=TRIM([1]qualifiche!$E$10),[1]qualifiche!$D$10,
IF(TRIM('[1]Personale di appoggio'!$F215)=TRIM([1]qualifiche!$E$11),[1]qualifiche!$D$11,""))))))))))</f>
        <v>7</v>
      </c>
      <c r="G214" s="5" t="s">
        <v>1179</v>
      </c>
      <c r="H214" s="5" t="s">
        <v>1180</v>
      </c>
      <c r="I214" s="6" t="s">
        <v>1181</v>
      </c>
      <c r="J214" s="7">
        <f>IF('[1]Personale di appoggio'!J215="X",1,0)</f>
        <v>0</v>
      </c>
      <c r="K214" s="7">
        <f>IF('[1]Personale di appoggio'!K215="X",1,0)</f>
        <v>0</v>
      </c>
      <c r="L214" s="7">
        <f>IF('[1]Personale di appoggio'!L215="X",1,0)</f>
        <v>0</v>
      </c>
      <c r="M214" s="7">
        <f>IF('[1]Personale di appoggio'!M215="X",1,0)</f>
        <v>0</v>
      </c>
      <c r="N214" s="3"/>
      <c r="O214" s="3"/>
      <c r="P214" s="11" t="str">
        <f>IF('[1]Personale di appoggio'!$P215="","",'[1]Personale di appoggio'!$P215)</f>
        <v/>
      </c>
      <c r="Q214" s="4" t="s">
        <v>6</v>
      </c>
      <c r="R214" s="4">
        <f t="shared" si="3"/>
        <v>4</v>
      </c>
    </row>
    <row r="215" spans="1:18" ht="42.75" x14ac:dyDescent="0.45">
      <c r="A215" s="9">
        <v>215</v>
      </c>
      <c r="B215" s="2" t="s">
        <v>1182</v>
      </c>
      <c r="C215" s="3" t="s">
        <v>1183</v>
      </c>
      <c r="D215" s="3" t="s">
        <v>1184</v>
      </c>
      <c r="E215" s="4">
        <f>IFERROR(INDEX([1]uot!$A$2:$A$40, MATCH("*"&amp;'[1]Personale di appoggio'!$D216&amp;"*", [1]uot!$B$2:$B$40, 0)), "Valore non trovato")</f>
        <v>5</v>
      </c>
      <c r="F215" s="4">
        <f>IF(TRIM('[1]Personale di appoggio'!$F216)=TRIM([1]qualifiche!$E$2),[1]qualifiche!$D$2,
IF(TRIM('[1]Personale di appoggio'!$F216)=TRIM([1]qualifiche!$E$3),[1]qualifiche!$D$3,
IF(TRIM('[1]Personale di appoggio'!$F216)=TRIM([1]qualifiche!$E$4),[1]qualifiche!$D$4,
IF(TRIM('[1]Personale di appoggio'!$F216)=TRIM([1]qualifiche!$E$5),[1]qualifiche!$D$5,
IF(TRIM('[1]Personale di appoggio'!$F216)=TRIM([1]qualifiche!$E$6),[1]qualifiche!$D$6,
IF(TRIM('[1]Personale di appoggio'!$F216)=TRIM([1]qualifiche!$E$7),[1]qualifiche!$D$7,
IF(TRIM('[1]Personale di appoggio'!$F216)=TRIM([1]qualifiche!$E$8),[1]qualifiche!$D$8,
IF(TRIM('[1]Personale di appoggio'!$F216)=TRIM([1]qualifiche!$E$9),[1]qualifiche!$D$9,
IF(TRIM('[1]Personale di appoggio'!$F216)=TRIM([1]qualifiche!$E$10),[1]qualifiche!$D$10,
IF(TRIM('[1]Personale di appoggio'!$F216)=TRIM([1]qualifiche!$E$11),[1]qualifiche!$D$11,""))))))))))</f>
        <v>8</v>
      </c>
      <c r="G215" s="5" t="s">
        <v>1185</v>
      </c>
      <c r="H215" s="5" t="s">
        <v>1186</v>
      </c>
      <c r="I215" s="6" t="s">
        <v>1187</v>
      </c>
      <c r="J215" s="7">
        <f>IF('[1]Personale di appoggio'!J216="X",1,0)</f>
        <v>0</v>
      </c>
      <c r="K215" s="7">
        <f>IF('[1]Personale di appoggio'!K216="X",1,0)</f>
        <v>0</v>
      </c>
      <c r="L215" s="7">
        <f>IF('[1]Personale di appoggio'!L216="X",1,0)</f>
        <v>0</v>
      </c>
      <c r="M215" s="7">
        <f>IF('[1]Personale di appoggio'!M216="X",1,0)</f>
        <v>0</v>
      </c>
      <c r="N215" s="3"/>
      <c r="O215" s="3"/>
      <c r="P215" s="11" t="str">
        <f>IF('[1]Personale di appoggio'!$P216="","",'[1]Personale di appoggio'!$P216)</f>
        <v/>
      </c>
      <c r="Q215" s="4" t="s">
        <v>6</v>
      </c>
      <c r="R215" s="4">
        <f t="shared" si="3"/>
        <v>4</v>
      </c>
    </row>
    <row r="216" spans="1:18" ht="31.5" x14ac:dyDescent="0.45">
      <c r="A216" s="9">
        <v>216</v>
      </c>
      <c r="B216" s="2" t="s">
        <v>1188</v>
      </c>
      <c r="C216" s="3" t="s">
        <v>1189</v>
      </c>
      <c r="D216" s="3" t="s">
        <v>513</v>
      </c>
      <c r="E216" s="4">
        <f>IFERROR(INDEX([1]uot!$A$2:$A$40, MATCH("*"&amp;'[1]Personale di appoggio'!$D217&amp;"*", [1]uot!$B$2:$B$40, 0)), "Valore non trovato")</f>
        <v>5</v>
      </c>
      <c r="F216" s="4">
        <f>IF(TRIM('[1]Personale di appoggio'!$F217)=TRIM([1]qualifiche!$E$2),[1]qualifiche!$D$2,
IF(TRIM('[1]Personale di appoggio'!$F217)=TRIM([1]qualifiche!$E$3),[1]qualifiche!$D$3,
IF(TRIM('[1]Personale di appoggio'!$F217)=TRIM([1]qualifiche!$E$4),[1]qualifiche!$D$4,
IF(TRIM('[1]Personale di appoggio'!$F217)=TRIM([1]qualifiche!$E$5),[1]qualifiche!$D$5,
IF(TRIM('[1]Personale di appoggio'!$F217)=TRIM([1]qualifiche!$E$6),[1]qualifiche!$D$6,
IF(TRIM('[1]Personale di appoggio'!$F217)=TRIM([1]qualifiche!$E$7),[1]qualifiche!$D$7,
IF(TRIM('[1]Personale di appoggio'!$F217)=TRIM([1]qualifiche!$E$8),[1]qualifiche!$D$8,
IF(TRIM('[1]Personale di appoggio'!$F217)=TRIM([1]qualifiche!$E$9),[1]qualifiche!$D$9,
IF(TRIM('[1]Personale di appoggio'!$F217)=TRIM([1]qualifiche!$E$10),[1]qualifiche!$D$10,
IF(TRIM('[1]Personale di appoggio'!$F217)=TRIM([1]qualifiche!$E$11),[1]qualifiche!$D$11,""))))))))))</f>
        <v>8</v>
      </c>
      <c r="G216" s="5" t="s">
        <v>1190</v>
      </c>
      <c r="H216" s="5"/>
      <c r="I216" s="6" t="s">
        <v>1191</v>
      </c>
      <c r="J216" s="7">
        <f>IF('[1]Personale di appoggio'!J217="X",1,0)</f>
        <v>0</v>
      </c>
      <c r="K216" s="7">
        <f>IF('[1]Personale di appoggio'!K217="X",1,0)</f>
        <v>0</v>
      </c>
      <c r="L216" s="7">
        <f>IF('[1]Personale di appoggio'!L217="X",1,0)</f>
        <v>0</v>
      </c>
      <c r="M216" s="7">
        <f>IF('[1]Personale di appoggio'!M217="X",1,0)</f>
        <v>0</v>
      </c>
      <c r="N216" s="3"/>
      <c r="O216" s="3"/>
      <c r="P216" s="11" t="str">
        <f>IF('[1]Personale di appoggio'!$P217="","",'[1]Personale di appoggio'!$P217)</f>
        <v/>
      </c>
      <c r="Q216" s="4" t="s">
        <v>6</v>
      </c>
      <c r="R216" s="4">
        <f t="shared" si="3"/>
        <v>4</v>
      </c>
    </row>
    <row r="217" spans="1:18" ht="42.75" x14ac:dyDescent="0.45">
      <c r="A217" s="9">
        <v>217</v>
      </c>
      <c r="B217" s="2" t="s">
        <v>1192</v>
      </c>
      <c r="C217" s="3" t="s">
        <v>1193</v>
      </c>
      <c r="D217" s="3" t="s">
        <v>1194</v>
      </c>
      <c r="E217" s="4">
        <f>IFERROR(INDEX([1]uot!$A$2:$A$40, MATCH("*"&amp;'[1]Personale di appoggio'!$D218&amp;"*", [1]uot!$B$2:$B$40, 0)), "Valore non trovato")</f>
        <v>5</v>
      </c>
      <c r="F217" s="4">
        <f>IF(TRIM('[1]Personale di appoggio'!$F218)=TRIM([1]qualifiche!$E$2),[1]qualifiche!$D$2,
IF(TRIM('[1]Personale di appoggio'!$F218)=TRIM([1]qualifiche!$E$3),[1]qualifiche!$D$3,
IF(TRIM('[1]Personale di appoggio'!$F218)=TRIM([1]qualifiche!$E$4),[1]qualifiche!$D$4,
IF(TRIM('[1]Personale di appoggio'!$F218)=TRIM([1]qualifiche!$E$5),[1]qualifiche!$D$5,
IF(TRIM('[1]Personale di appoggio'!$F218)=TRIM([1]qualifiche!$E$6),[1]qualifiche!$D$6,
IF(TRIM('[1]Personale di appoggio'!$F218)=TRIM([1]qualifiche!$E$7),[1]qualifiche!$D$7,
IF(TRIM('[1]Personale di appoggio'!$F218)=TRIM([1]qualifiche!$E$8),[1]qualifiche!$D$8,
IF(TRIM('[1]Personale di appoggio'!$F218)=TRIM([1]qualifiche!$E$9),[1]qualifiche!$D$9,
IF(TRIM('[1]Personale di appoggio'!$F218)=TRIM([1]qualifiche!$E$10),[1]qualifiche!$D$10,
IF(TRIM('[1]Personale di appoggio'!$F218)=TRIM([1]qualifiche!$E$11),[1]qualifiche!$D$11,""))))))))))</f>
        <v>9</v>
      </c>
      <c r="G217" s="5" t="s">
        <v>1195</v>
      </c>
      <c r="H217" s="5" t="s">
        <v>1196</v>
      </c>
      <c r="I217" s="6" t="s">
        <v>1197</v>
      </c>
      <c r="J217" s="7">
        <f>IF('[1]Personale di appoggio'!J218="X",1,0)</f>
        <v>0</v>
      </c>
      <c r="K217" s="7">
        <f>IF('[1]Personale di appoggio'!K218="X",1,0)</f>
        <v>0</v>
      </c>
      <c r="L217" s="7">
        <f>IF('[1]Personale di appoggio'!L218="X",1,0)</f>
        <v>0</v>
      </c>
      <c r="M217" s="7">
        <f>IF('[1]Personale di appoggio'!M218="X",1,0)</f>
        <v>0</v>
      </c>
      <c r="N217" s="3"/>
      <c r="O217" s="3"/>
      <c r="P217" s="11" t="str">
        <f>IF('[1]Personale di appoggio'!$P218="","",'[1]Personale di appoggio'!$P218)</f>
        <v/>
      </c>
      <c r="Q217" s="4" t="s">
        <v>6</v>
      </c>
      <c r="R217" s="4">
        <f t="shared" si="3"/>
        <v>4</v>
      </c>
    </row>
    <row r="218" spans="1:18" ht="42.75" x14ac:dyDescent="0.45">
      <c r="A218" s="9">
        <v>218</v>
      </c>
      <c r="B218" s="2" t="s">
        <v>1198</v>
      </c>
      <c r="C218" s="3" t="s">
        <v>1199</v>
      </c>
      <c r="D218" s="3" t="s">
        <v>181</v>
      </c>
      <c r="E218" s="4">
        <f>IFERROR(INDEX([1]uot!$A$2:$A$40, MATCH("*"&amp;'[1]Personale di appoggio'!$D219&amp;"*", [1]uot!$B$2:$B$40, 0)), "Valore non trovato")</f>
        <v>5</v>
      </c>
      <c r="F218" s="4">
        <f>IF(TRIM('[1]Personale di appoggio'!$F219)=TRIM([1]qualifiche!$E$2),[1]qualifiche!$D$2,
IF(TRIM('[1]Personale di appoggio'!$F219)=TRIM([1]qualifiche!$E$3),[1]qualifiche!$D$3,
IF(TRIM('[1]Personale di appoggio'!$F219)=TRIM([1]qualifiche!$E$4),[1]qualifiche!$D$4,
IF(TRIM('[1]Personale di appoggio'!$F219)=TRIM([1]qualifiche!$E$5),[1]qualifiche!$D$5,
IF(TRIM('[1]Personale di appoggio'!$F219)=TRIM([1]qualifiche!$E$6),[1]qualifiche!$D$6,
IF(TRIM('[1]Personale di appoggio'!$F219)=TRIM([1]qualifiche!$E$7),[1]qualifiche!$D$7,
IF(TRIM('[1]Personale di appoggio'!$F219)=TRIM([1]qualifiche!$E$8),[1]qualifiche!$D$8,
IF(TRIM('[1]Personale di appoggio'!$F219)=TRIM([1]qualifiche!$E$9),[1]qualifiche!$D$9,
IF(TRIM('[1]Personale di appoggio'!$F219)=TRIM([1]qualifiche!$E$10),[1]qualifiche!$D$10,
IF(TRIM('[1]Personale di appoggio'!$F219)=TRIM([1]qualifiche!$E$11),[1]qualifiche!$D$11,""))))))))))</f>
        <v>9</v>
      </c>
      <c r="G218" s="5" t="s">
        <v>1200</v>
      </c>
      <c r="H218" s="5" t="s">
        <v>1201</v>
      </c>
      <c r="I218" s="6" t="s">
        <v>1202</v>
      </c>
      <c r="J218" s="7">
        <f>IF('[1]Personale di appoggio'!J219="X",1,0)</f>
        <v>0</v>
      </c>
      <c r="K218" s="7">
        <f>IF('[1]Personale di appoggio'!K219="X",1,0)</f>
        <v>0</v>
      </c>
      <c r="L218" s="7">
        <f>IF('[1]Personale di appoggio'!L219="X",1,0)</f>
        <v>0</v>
      </c>
      <c r="M218" s="7">
        <f>IF('[1]Personale di appoggio'!M219="X",1,0)</f>
        <v>0</v>
      </c>
      <c r="N218" s="3"/>
      <c r="O218" s="3"/>
      <c r="P218" s="11" t="str">
        <f>IF('[1]Personale di appoggio'!$P219="","",'[1]Personale di appoggio'!$P219)</f>
        <v/>
      </c>
      <c r="Q218" s="4" t="s">
        <v>6</v>
      </c>
      <c r="R218" s="4">
        <f t="shared" si="3"/>
        <v>4</v>
      </c>
    </row>
    <row r="219" spans="1:18" ht="31.5" x14ac:dyDescent="0.45">
      <c r="A219" s="9">
        <v>219</v>
      </c>
      <c r="B219" s="2" t="s">
        <v>1203</v>
      </c>
      <c r="C219" s="3" t="s">
        <v>1204</v>
      </c>
      <c r="D219" s="3" t="s">
        <v>1205</v>
      </c>
      <c r="E219" s="4">
        <f>IFERROR(INDEX([1]uot!$A$2:$A$40, MATCH("*"&amp;'[1]Personale di appoggio'!$D220&amp;"*", [1]uot!$B$2:$B$40, 0)), "Valore non trovato")</f>
        <v>5</v>
      </c>
      <c r="F219" s="4">
        <f>IF(TRIM('[1]Personale di appoggio'!$F220)=TRIM([1]qualifiche!$E$2),[1]qualifiche!$D$2,
IF(TRIM('[1]Personale di appoggio'!$F220)=TRIM([1]qualifiche!$E$3),[1]qualifiche!$D$3,
IF(TRIM('[1]Personale di appoggio'!$F220)=TRIM([1]qualifiche!$E$4),[1]qualifiche!$D$4,
IF(TRIM('[1]Personale di appoggio'!$F220)=TRIM([1]qualifiche!$E$5),[1]qualifiche!$D$5,
IF(TRIM('[1]Personale di appoggio'!$F220)=TRIM([1]qualifiche!$E$6),[1]qualifiche!$D$6,
IF(TRIM('[1]Personale di appoggio'!$F220)=TRIM([1]qualifiche!$E$7),[1]qualifiche!$D$7,
IF(TRIM('[1]Personale di appoggio'!$F220)=TRIM([1]qualifiche!$E$8),[1]qualifiche!$D$8,
IF(TRIM('[1]Personale di appoggio'!$F220)=TRIM([1]qualifiche!$E$9),[1]qualifiche!$D$9,
IF(TRIM('[1]Personale di appoggio'!$F220)=TRIM([1]qualifiche!$E$10),[1]qualifiche!$D$10,
IF(TRIM('[1]Personale di appoggio'!$F220)=TRIM([1]qualifiche!$E$11),[1]qualifiche!$D$11,""))))))))))</f>
        <v>9</v>
      </c>
      <c r="G219" s="5" t="s">
        <v>1206</v>
      </c>
      <c r="H219" s="5" t="s">
        <v>1207</v>
      </c>
      <c r="I219" s="6" t="s">
        <v>1208</v>
      </c>
      <c r="J219" s="7">
        <f>IF('[1]Personale di appoggio'!J220="X",1,0)</f>
        <v>0</v>
      </c>
      <c r="K219" s="7">
        <f>IF('[1]Personale di appoggio'!K220="X",1,0)</f>
        <v>0</v>
      </c>
      <c r="L219" s="7">
        <f>IF('[1]Personale di appoggio'!L220="X",1,0)</f>
        <v>0</v>
      </c>
      <c r="M219" s="7">
        <f>IF('[1]Personale di appoggio'!M220="X",1,0)</f>
        <v>0</v>
      </c>
      <c r="N219" s="3"/>
      <c r="O219" s="3"/>
      <c r="P219" s="11" t="str">
        <f>IF('[1]Personale di appoggio'!$P220="","",'[1]Personale di appoggio'!$P220)</f>
        <v/>
      </c>
      <c r="Q219" s="4" t="s">
        <v>6</v>
      </c>
      <c r="R219" s="4">
        <f t="shared" si="3"/>
        <v>4</v>
      </c>
    </row>
    <row r="220" spans="1:18" ht="31.5" x14ac:dyDescent="0.45">
      <c r="A220" s="9">
        <v>220</v>
      </c>
      <c r="B220" s="2" t="s">
        <v>1209</v>
      </c>
      <c r="C220" s="3" t="s">
        <v>1210</v>
      </c>
      <c r="D220" s="3" t="s">
        <v>63</v>
      </c>
      <c r="E220" s="4">
        <f>IFERROR(INDEX([1]uot!$A$2:$A$40, MATCH("*"&amp;'[1]Personale di appoggio'!$D221&amp;"*", [1]uot!$B$2:$B$40, 0)), "Valore non trovato")</f>
        <v>5</v>
      </c>
      <c r="F220" s="4">
        <f>IF(TRIM('[1]Personale di appoggio'!$F221)=TRIM([1]qualifiche!$E$2),[1]qualifiche!$D$2,
IF(TRIM('[1]Personale di appoggio'!$F221)=TRIM([1]qualifiche!$E$3),[1]qualifiche!$D$3,
IF(TRIM('[1]Personale di appoggio'!$F221)=TRIM([1]qualifiche!$E$4),[1]qualifiche!$D$4,
IF(TRIM('[1]Personale di appoggio'!$F221)=TRIM([1]qualifiche!$E$5),[1]qualifiche!$D$5,
IF(TRIM('[1]Personale di appoggio'!$F221)=TRIM([1]qualifiche!$E$6),[1]qualifiche!$D$6,
IF(TRIM('[1]Personale di appoggio'!$F221)=TRIM([1]qualifiche!$E$7),[1]qualifiche!$D$7,
IF(TRIM('[1]Personale di appoggio'!$F221)=TRIM([1]qualifiche!$E$8),[1]qualifiche!$D$8,
IF(TRIM('[1]Personale di appoggio'!$F221)=TRIM([1]qualifiche!$E$9),[1]qualifiche!$D$9,
IF(TRIM('[1]Personale di appoggio'!$F221)=TRIM([1]qualifiche!$E$10),[1]qualifiche!$D$10,
IF(TRIM('[1]Personale di appoggio'!$F221)=TRIM([1]qualifiche!$E$11),[1]qualifiche!$D$11,""))))))))))</f>
        <v>9</v>
      </c>
      <c r="G220" s="5" t="s">
        <v>1211</v>
      </c>
      <c r="H220" s="5" t="s">
        <v>1212</v>
      </c>
      <c r="I220" s="6" t="s">
        <v>1213</v>
      </c>
      <c r="J220" s="7">
        <f>IF('[1]Personale di appoggio'!J221="X",1,0)</f>
        <v>0</v>
      </c>
      <c r="K220" s="7">
        <f>IF('[1]Personale di appoggio'!K221="X",1,0)</f>
        <v>0</v>
      </c>
      <c r="L220" s="7">
        <f>IF('[1]Personale di appoggio'!L221="X",1,0)</f>
        <v>0</v>
      </c>
      <c r="M220" s="7">
        <f>IF('[1]Personale di appoggio'!M221="X",1,0)</f>
        <v>0</v>
      </c>
      <c r="N220" s="3"/>
      <c r="O220" s="3"/>
      <c r="P220" s="11" t="str">
        <f>IF('[1]Personale di appoggio'!$P221="","",'[1]Personale di appoggio'!$P221)</f>
        <v/>
      </c>
      <c r="Q220" s="4" t="s">
        <v>6</v>
      </c>
      <c r="R220" s="4">
        <f t="shared" si="3"/>
        <v>4</v>
      </c>
    </row>
    <row r="221" spans="1:18" ht="31.5" x14ac:dyDescent="0.45">
      <c r="A221" s="9">
        <v>221</v>
      </c>
      <c r="B221" s="2" t="s">
        <v>1214</v>
      </c>
      <c r="C221" s="3" t="s">
        <v>1215</v>
      </c>
      <c r="D221" s="3" t="s">
        <v>978</v>
      </c>
      <c r="E221" s="4">
        <f>IFERROR(INDEX([1]uot!$A$2:$A$40, MATCH("*"&amp;'[1]Personale di appoggio'!$D222&amp;"*", [1]uot!$B$2:$B$40, 0)), "Valore non trovato")</f>
        <v>13</v>
      </c>
      <c r="F221" s="4">
        <f>IF(TRIM('[1]Personale di appoggio'!$F222)=TRIM([1]qualifiche!$E$2),[1]qualifiche!$D$2,
IF(TRIM('[1]Personale di appoggio'!$F222)=TRIM([1]qualifiche!$E$3),[1]qualifiche!$D$3,
IF(TRIM('[1]Personale di appoggio'!$F222)=TRIM([1]qualifiche!$E$4),[1]qualifiche!$D$4,
IF(TRIM('[1]Personale di appoggio'!$F222)=TRIM([1]qualifiche!$E$5),[1]qualifiche!$D$5,
IF(TRIM('[1]Personale di appoggio'!$F222)=TRIM([1]qualifiche!$E$6),[1]qualifiche!$D$6,
IF(TRIM('[1]Personale di appoggio'!$F222)=TRIM([1]qualifiche!$E$7),[1]qualifiche!$D$7,
IF(TRIM('[1]Personale di appoggio'!$F222)=TRIM([1]qualifiche!$E$8),[1]qualifiche!$D$8,
IF(TRIM('[1]Personale di appoggio'!$F222)=TRIM([1]qualifiche!$E$9),[1]qualifiche!$D$9,
IF(TRIM('[1]Personale di appoggio'!$F222)=TRIM([1]qualifiche!$E$10),[1]qualifiche!$D$10,
IF(TRIM('[1]Personale di appoggio'!$F222)=TRIM([1]qualifiche!$E$11),[1]qualifiche!$D$11,""))))))))))</f>
        <v>1</v>
      </c>
      <c r="G221" s="5" t="s">
        <v>1216</v>
      </c>
      <c r="H221" s="5" t="s">
        <v>1217</v>
      </c>
      <c r="I221" s="6" t="s">
        <v>1218</v>
      </c>
      <c r="J221" s="7">
        <f>IF('[1]Personale di appoggio'!J222="X",1,0)</f>
        <v>1</v>
      </c>
      <c r="K221" s="7">
        <f>IF('[1]Personale di appoggio'!K222="X",1,0)</f>
        <v>1</v>
      </c>
      <c r="L221" s="7">
        <f>IF('[1]Personale di appoggio'!L222="X",1,0)</f>
        <v>0</v>
      </c>
      <c r="M221" s="7">
        <f>IF('[1]Personale di appoggio'!M222="X",1,0)</f>
        <v>0</v>
      </c>
      <c r="N221" s="3"/>
      <c r="O221" s="3"/>
      <c r="P221" s="11" t="str">
        <f>IF('[1]Personale di appoggio'!$P222="","",'[1]Personale di appoggio'!$P222)</f>
        <v/>
      </c>
      <c r="Q221" s="4" t="s">
        <v>6</v>
      </c>
      <c r="R221" s="4">
        <f t="shared" si="3"/>
        <v>2</v>
      </c>
    </row>
    <row r="222" spans="1:18" ht="31.5" x14ac:dyDescent="0.45">
      <c r="A222" s="9">
        <v>222</v>
      </c>
      <c r="B222" s="2" t="s">
        <v>1219</v>
      </c>
      <c r="C222" s="3" t="s">
        <v>1220</v>
      </c>
      <c r="D222" s="3" t="s">
        <v>490</v>
      </c>
      <c r="E222" s="4">
        <f>IFERROR(INDEX([1]uot!$A$2:$A$40, MATCH("*"&amp;'[1]Personale di appoggio'!$D223&amp;"*", [1]uot!$B$2:$B$40, 0)), "Valore non trovato")</f>
        <v>13</v>
      </c>
      <c r="F222" s="4">
        <f>IF(TRIM('[1]Personale di appoggio'!$F223)=TRIM([1]qualifiche!$E$2),[1]qualifiche!$D$2,
IF(TRIM('[1]Personale di appoggio'!$F223)=TRIM([1]qualifiche!$E$3),[1]qualifiche!$D$3,
IF(TRIM('[1]Personale di appoggio'!$F223)=TRIM([1]qualifiche!$E$4),[1]qualifiche!$D$4,
IF(TRIM('[1]Personale di appoggio'!$F223)=TRIM([1]qualifiche!$E$5),[1]qualifiche!$D$5,
IF(TRIM('[1]Personale di appoggio'!$F223)=TRIM([1]qualifiche!$E$6),[1]qualifiche!$D$6,
IF(TRIM('[1]Personale di appoggio'!$F223)=TRIM([1]qualifiche!$E$7),[1]qualifiche!$D$7,
IF(TRIM('[1]Personale di appoggio'!$F223)=TRIM([1]qualifiche!$E$8),[1]qualifiche!$D$8,
IF(TRIM('[1]Personale di appoggio'!$F223)=TRIM([1]qualifiche!$E$9),[1]qualifiche!$D$9,
IF(TRIM('[1]Personale di appoggio'!$F223)=TRIM([1]qualifiche!$E$10),[1]qualifiche!$D$10,
IF(TRIM('[1]Personale di appoggio'!$F223)=TRIM([1]qualifiche!$E$11),[1]qualifiche!$D$11,""))))))))))</f>
        <v>5</v>
      </c>
      <c r="G222" s="5" t="s">
        <v>1221</v>
      </c>
      <c r="H222" s="5" t="s">
        <v>1222</v>
      </c>
      <c r="I222" s="6" t="s">
        <v>1223</v>
      </c>
      <c r="J222" s="7">
        <f>IF('[1]Personale di appoggio'!J223="X",1,0)</f>
        <v>0</v>
      </c>
      <c r="K222" s="7">
        <f>IF('[1]Personale di appoggio'!K223="X",1,0)</f>
        <v>1</v>
      </c>
      <c r="L222" s="7">
        <f>IF('[1]Personale di appoggio'!L223="X",1,0)</f>
        <v>0</v>
      </c>
      <c r="M222" s="7">
        <f>IF('[1]Personale di appoggio'!M223="X",1,0)</f>
        <v>1</v>
      </c>
      <c r="N222" s="3"/>
      <c r="O222" s="3"/>
      <c r="P222" s="11" t="str">
        <f>IF('[1]Personale di appoggio'!$P223="","",'[1]Personale di appoggio'!$P223)</f>
        <v/>
      </c>
      <c r="Q222" s="4" t="s">
        <v>6</v>
      </c>
      <c r="R222" s="4">
        <f t="shared" si="3"/>
        <v>2</v>
      </c>
    </row>
    <row r="223" spans="1:18" ht="31.5" x14ac:dyDescent="0.45">
      <c r="A223" s="9">
        <v>223</v>
      </c>
      <c r="B223" s="2" t="s">
        <v>1224</v>
      </c>
      <c r="C223" s="3" t="s">
        <v>1225</v>
      </c>
      <c r="D223" s="3" t="s">
        <v>711</v>
      </c>
      <c r="E223" s="4">
        <f>IFERROR(INDEX([1]uot!$A$2:$A$40, MATCH("*"&amp;'[1]Personale di appoggio'!$D224&amp;"*", [1]uot!$B$2:$B$40, 0)), "Valore non trovato")</f>
        <v>13</v>
      </c>
      <c r="F223" s="4">
        <f>IF(TRIM('[1]Personale di appoggio'!$F224)=TRIM([1]qualifiche!$E$2),[1]qualifiche!$D$2,
IF(TRIM('[1]Personale di appoggio'!$F224)=TRIM([1]qualifiche!$E$3),[1]qualifiche!$D$3,
IF(TRIM('[1]Personale di appoggio'!$F224)=TRIM([1]qualifiche!$E$4),[1]qualifiche!$D$4,
IF(TRIM('[1]Personale di appoggio'!$F224)=TRIM([1]qualifiche!$E$5),[1]qualifiche!$D$5,
IF(TRIM('[1]Personale di appoggio'!$F224)=TRIM([1]qualifiche!$E$6),[1]qualifiche!$D$6,
IF(TRIM('[1]Personale di appoggio'!$F224)=TRIM([1]qualifiche!$E$7),[1]qualifiche!$D$7,
IF(TRIM('[1]Personale di appoggio'!$F224)=TRIM([1]qualifiche!$E$8),[1]qualifiche!$D$8,
IF(TRIM('[1]Personale di appoggio'!$F224)=TRIM([1]qualifiche!$E$9),[1]qualifiche!$D$9,
IF(TRIM('[1]Personale di appoggio'!$F224)=TRIM([1]qualifiche!$E$10),[1]qualifiche!$D$10,
IF(TRIM('[1]Personale di appoggio'!$F224)=TRIM([1]qualifiche!$E$11),[1]qualifiche!$D$11,""))))))))))</f>
        <v>4</v>
      </c>
      <c r="G223" s="5" t="s">
        <v>1226</v>
      </c>
      <c r="H223" s="5" t="s">
        <v>1227</v>
      </c>
      <c r="I223" s="6" t="s">
        <v>1228</v>
      </c>
      <c r="J223" s="7">
        <f>IF('[1]Personale di appoggio'!J224="X",1,0)</f>
        <v>1</v>
      </c>
      <c r="K223" s="7">
        <f>IF('[1]Personale di appoggio'!K224="X",1,0)</f>
        <v>0</v>
      </c>
      <c r="L223" s="7">
        <f>IF('[1]Personale di appoggio'!L224="X",1,0)</f>
        <v>1</v>
      </c>
      <c r="M223" s="7">
        <f>IF('[1]Personale di appoggio'!M224="X",1,0)</f>
        <v>0</v>
      </c>
      <c r="N223" s="3"/>
      <c r="O223" s="3"/>
      <c r="P223" s="11" t="str">
        <f>IF('[1]Personale di appoggio'!$P224="","",'[1]Personale di appoggio'!$P224)</f>
        <v/>
      </c>
      <c r="Q223" s="4" t="s">
        <v>6</v>
      </c>
      <c r="R223" s="4">
        <f t="shared" si="3"/>
        <v>2</v>
      </c>
    </row>
    <row r="224" spans="1:18" ht="31.5" x14ac:dyDescent="0.45">
      <c r="A224" s="9">
        <v>224</v>
      </c>
      <c r="B224" s="2" t="s">
        <v>1229</v>
      </c>
      <c r="C224" s="3" t="s">
        <v>1230</v>
      </c>
      <c r="D224" s="3" t="s">
        <v>1231</v>
      </c>
      <c r="E224" s="4">
        <f>IFERROR(INDEX([1]uot!$A$2:$A$40, MATCH("*"&amp;'[1]Personale di appoggio'!$D225&amp;"*", [1]uot!$B$2:$B$40, 0)), "Valore non trovato")</f>
        <v>13</v>
      </c>
      <c r="F224" s="4">
        <f>IF(TRIM('[1]Personale di appoggio'!$F225)=TRIM([1]qualifiche!$E$2),[1]qualifiche!$D$2,
IF(TRIM('[1]Personale di appoggio'!$F225)=TRIM([1]qualifiche!$E$3),[1]qualifiche!$D$3,
IF(TRIM('[1]Personale di appoggio'!$F225)=TRIM([1]qualifiche!$E$4),[1]qualifiche!$D$4,
IF(TRIM('[1]Personale di appoggio'!$F225)=TRIM([1]qualifiche!$E$5),[1]qualifiche!$D$5,
IF(TRIM('[1]Personale di appoggio'!$F225)=TRIM([1]qualifiche!$E$6),[1]qualifiche!$D$6,
IF(TRIM('[1]Personale di appoggio'!$F225)=TRIM([1]qualifiche!$E$7),[1]qualifiche!$D$7,
IF(TRIM('[1]Personale di appoggio'!$F225)=TRIM([1]qualifiche!$E$8),[1]qualifiche!$D$8,
IF(TRIM('[1]Personale di appoggio'!$F225)=TRIM([1]qualifiche!$E$9),[1]qualifiche!$D$9,
IF(TRIM('[1]Personale di appoggio'!$F225)=TRIM([1]qualifiche!$E$10),[1]qualifiche!$D$10,
IF(TRIM('[1]Personale di appoggio'!$F225)=TRIM([1]qualifiche!$E$11),[1]qualifiche!$D$11,""))))))))))</f>
        <v>7</v>
      </c>
      <c r="G224" s="5" t="s">
        <v>1232</v>
      </c>
      <c r="H224" s="5" t="s">
        <v>1233</v>
      </c>
      <c r="I224" s="6" t="s">
        <v>1234</v>
      </c>
      <c r="J224" s="7">
        <f>IF('[1]Personale di appoggio'!J225="X",1,0)</f>
        <v>0</v>
      </c>
      <c r="K224" s="7">
        <f>IF('[1]Personale di appoggio'!K225="X",1,0)</f>
        <v>0</v>
      </c>
      <c r="L224" s="7">
        <f>IF('[1]Personale di appoggio'!L225="X",1,0)</f>
        <v>0</v>
      </c>
      <c r="M224" s="7">
        <f>IF('[1]Personale di appoggio'!M225="X",1,0)</f>
        <v>0</v>
      </c>
      <c r="N224" s="3"/>
      <c r="O224" s="3"/>
      <c r="P224" s="11" t="str">
        <f>IF('[1]Personale di appoggio'!$P225="","",'[1]Personale di appoggio'!$P225)</f>
        <v/>
      </c>
      <c r="Q224" s="4" t="s">
        <v>6</v>
      </c>
      <c r="R224" s="4">
        <f t="shared" si="3"/>
        <v>4</v>
      </c>
    </row>
    <row r="225" spans="1:18" ht="31.5" x14ac:dyDescent="0.45">
      <c r="A225" s="9">
        <v>225</v>
      </c>
      <c r="B225" s="2" t="s">
        <v>1235</v>
      </c>
      <c r="C225" s="3" t="s">
        <v>1236</v>
      </c>
      <c r="D225" s="3" t="s">
        <v>1237</v>
      </c>
      <c r="E225" s="4">
        <f>IFERROR(INDEX([1]uot!$A$2:$A$40, MATCH("*"&amp;'[1]Personale di appoggio'!$D226&amp;"*", [1]uot!$B$2:$B$40, 0)), "Valore non trovato")</f>
        <v>13</v>
      </c>
      <c r="F225" s="4">
        <f>IF(TRIM('[1]Personale di appoggio'!$F226)=TRIM([1]qualifiche!$E$2),[1]qualifiche!$D$2,
IF(TRIM('[1]Personale di appoggio'!$F226)=TRIM([1]qualifiche!$E$3),[1]qualifiche!$D$3,
IF(TRIM('[1]Personale di appoggio'!$F226)=TRIM([1]qualifiche!$E$4),[1]qualifiche!$D$4,
IF(TRIM('[1]Personale di appoggio'!$F226)=TRIM([1]qualifiche!$E$5),[1]qualifiche!$D$5,
IF(TRIM('[1]Personale di appoggio'!$F226)=TRIM([1]qualifiche!$E$6),[1]qualifiche!$D$6,
IF(TRIM('[1]Personale di appoggio'!$F226)=TRIM([1]qualifiche!$E$7),[1]qualifiche!$D$7,
IF(TRIM('[1]Personale di appoggio'!$F226)=TRIM([1]qualifiche!$E$8),[1]qualifiche!$D$8,
IF(TRIM('[1]Personale di appoggio'!$F226)=TRIM([1]qualifiche!$E$9),[1]qualifiche!$D$9,
IF(TRIM('[1]Personale di appoggio'!$F226)=TRIM([1]qualifiche!$E$10),[1]qualifiche!$D$10,
IF(TRIM('[1]Personale di appoggio'!$F226)=TRIM([1]qualifiche!$E$11),[1]qualifiche!$D$11,""))))))))))</f>
        <v>8</v>
      </c>
      <c r="G225" s="5" t="s">
        <v>1238</v>
      </c>
      <c r="H225" s="5" t="s">
        <v>1239</v>
      </c>
      <c r="I225" s="6" t="s">
        <v>1240</v>
      </c>
      <c r="J225" s="7">
        <f>IF('[1]Personale di appoggio'!J226="X",1,0)</f>
        <v>0</v>
      </c>
      <c r="K225" s="7">
        <f>IF('[1]Personale di appoggio'!K226="X",1,0)</f>
        <v>0</v>
      </c>
      <c r="L225" s="7">
        <f>IF('[1]Personale di appoggio'!L226="X",1,0)</f>
        <v>0</v>
      </c>
      <c r="M225" s="7">
        <f>IF('[1]Personale di appoggio'!M226="X",1,0)</f>
        <v>0</v>
      </c>
      <c r="N225" s="3"/>
      <c r="O225" s="3"/>
      <c r="P225" s="11" t="str">
        <f>IF('[1]Personale di appoggio'!$P226="","",'[1]Personale di appoggio'!$P226)</f>
        <v/>
      </c>
      <c r="Q225" s="4" t="s">
        <v>6</v>
      </c>
      <c r="R225" s="4">
        <f t="shared" si="3"/>
        <v>4</v>
      </c>
    </row>
    <row r="226" spans="1:18" ht="31.5" x14ac:dyDescent="0.45">
      <c r="A226" s="9">
        <v>226</v>
      </c>
      <c r="B226" s="2" t="s">
        <v>1241</v>
      </c>
      <c r="C226" s="3" t="s">
        <v>1242</v>
      </c>
      <c r="D226" s="3" t="s">
        <v>63</v>
      </c>
      <c r="E226" s="4">
        <f>IFERROR(INDEX([1]uot!$A$2:$A$40, MATCH("*"&amp;'[1]Personale di appoggio'!$D227&amp;"*", [1]uot!$B$2:$B$40, 0)), "Valore non trovato")</f>
        <v>13</v>
      </c>
      <c r="F226" s="4">
        <f>IF(TRIM('[1]Personale di appoggio'!$F227)=TRIM([1]qualifiche!$E$2),[1]qualifiche!$D$2,
IF(TRIM('[1]Personale di appoggio'!$F227)=TRIM([1]qualifiche!$E$3),[1]qualifiche!$D$3,
IF(TRIM('[1]Personale di appoggio'!$F227)=TRIM([1]qualifiche!$E$4),[1]qualifiche!$D$4,
IF(TRIM('[1]Personale di appoggio'!$F227)=TRIM([1]qualifiche!$E$5),[1]qualifiche!$D$5,
IF(TRIM('[1]Personale di appoggio'!$F227)=TRIM([1]qualifiche!$E$6),[1]qualifiche!$D$6,
IF(TRIM('[1]Personale di appoggio'!$F227)=TRIM([1]qualifiche!$E$7),[1]qualifiche!$D$7,
IF(TRIM('[1]Personale di appoggio'!$F227)=TRIM([1]qualifiche!$E$8),[1]qualifiche!$D$8,
IF(TRIM('[1]Personale di appoggio'!$F227)=TRIM([1]qualifiche!$E$9),[1]qualifiche!$D$9,
IF(TRIM('[1]Personale di appoggio'!$F227)=TRIM([1]qualifiche!$E$10),[1]qualifiche!$D$10,
IF(TRIM('[1]Personale di appoggio'!$F227)=TRIM([1]qualifiche!$E$11),[1]qualifiche!$D$11,""))))))))))</f>
        <v>9</v>
      </c>
      <c r="G226" s="5" t="s">
        <v>1243</v>
      </c>
      <c r="H226" s="5" t="s">
        <v>1244</v>
      </c>
      <c r="I226" s="6" t="s">
        <v>1245</v>
      </c>
      <c r="J226" s="7">
        <f>IF('[1]Personale di appoggio'!J227="X",1,0)</f>
        <v>0</v>
      </c>
      <c r="K226" s="7">
        <f>IF('[1]Personale di appoggio'!K227="X",1,0)</f>
        <v>0</v>
      </c>
      <c r="L226" s="7">
        <f>IF('[1]Personale di appoggio'!L227="X",1,0)</f>
        <v>0</v>
      </c>
      <c r="M226" s="7">
        <f>IF('[1]Personale di appoggio'!M227="X",1,0)</f>
        <v>0</v>
      </c>
      <c r="N226" s="3"/>
      <c r="O226" s="3"/>
      <c r="P226" s="11" t="str">
        <f>IF('[1]Personale di appoggio'!$P227="","",'[1]Personale di appoggio'!$P227)</f>
        <v/>
      </c>
      <c r="Q226" s="4" t="s">
        <v>6</v>
      </c>
      <c r="R226" s="4">
        <f t="shared" si="3"/>
        <v>4</v>
      </c>
    </row>
    <row r="227" spans="1:18" ht="31.5" x14ac:dyDescent="0.45">
      <c r="A227" s="9">
        <v>227</v>
      </c>
      <c r="B227" s="2" t="s">
        <v>1246</v>
      </c>
      <c r="C227" s="3" t="s">
        <v>1247</v>
      </c>
      <c r="D227" s="3" t="s">
        <v>150</v>
      </c>
      <c r="E227" s="4">
        <f>IFERROR(INDEX([1]uot!$A$2:$A$40, MATCH("*"&amp;'[1]Personale di appoggio'!$D228&amp;"*", [1]uot!$B$2:$B$40, 0)), "Valore non trovato")</f>
        <v>18</v>
      </c>
      <c r="F227" s="4">
        <f>IF(TRIM('[1]Personale di appoggio'!$F228)=TRIM([1]qualifiche!$E$2),[1]qualifiche!$D$2,
IF(TRIM('[1]Personale di appoggio'!$F228)=TRIM([1]qualifiche!$E$3),[1]qualifiche!$D$3,
IF(TRIM('[1]Personale di appoggio'!$F228)=TRIM([1]qualifiche!$E$4),[1]qualifiche!$D$4,
IF(TRIM('[1]Personale di appoggio'!$F228)=TRIM([1]qualifiche!$E$5),[1]qualifiche!$D$5,
IF(TRIM('[1]Personale di appoggio'!$F228)=TRIM([1]qualifiche!$E$6),[1]qualifiche!$D$6,
IF(TRIM('[1]Personale di appoggio'!$F228)=TRIM([1]qualifiche!$E$7),[1]qualifiche!$D$7,
IF(TRIM('[1]Personale di appoggio'!$F228)=TRIM([1]qualifiche!$E$8),[1]qualifiche!$D$8,
IF(TRIM('[1]Personale di appoggio'!$F228)=TRIM([1]qualifiche!$E$9),[1]qualifiche!$D$9,
IF(TRIM('[1]Personale di appoggio'!$F228)=TRIM([1]qualifiche!$E$10),[1]qualifiche!$D$10,
IF(TRIM('[1]Personale di appoggio'!$F228)=TRIM([1]qualifiche!$E$11),[1]qualifiche!$D$11,""))))))))))</f>
        <v>2</v>
      </c>
      <c r="G227" s="5" t="s">
        <v>1248</v>
      </c>
      <c r="H227" s="5" t="s">
        <v>1249</v>
      </c>
      <c r="I227" s="6" t="s">
        <v>1250</v>
      </c>
      <c r="J227" s="7">
        <f>IF('[1]Personale di appoggio'!J228="X",1,0)</f>
        <v>0</v>
      </c>
      <c r="K227" s="7">
        <f>IF('[1]Personale di appoggio'!K228="X",1,0)</f>
        <v>0</v>
      </c>
      <c r="L227" s="7">
        <f>IF('[1]Personale di appoggio'!L228="X",1,0)</f>
        <v>0</v>
      </c>
      <c r="M227" s="7">
        <f>IF('[1]Personale di appoggio'!M228="X",1,0)</f>
        <v>0</v>
      </c>
      <c r="N227" s="3"/>
      <c r="O227" s="3"/>
      <c r="P227" s="11" t="str">
        <f>IF('[1]Personale di appoggio'!$P228="","",'[1]Personale di appoggio'!$P228)</f>
        <v/>
      </c>
      <c r="Q227" s="4" t="s">
        <v>6</v>
      </c>
      <c r="R227" s="4">
        <f t="shared" si="3"/>
        <v>4</v>
      </c>
    </row>
    <row r="228" spans="1:18" ht="31.5" x14ac:dyDescent="0.45">
      <c r="A228" s="9">
        <v>228</v>
      </c>
      <c r="B228" s="2" t="s">
        <v>1251</v>
      </c>
      <c r="C228" s="3" t="s">
        <v>1252</v>
      </c>
      <c r="D228" s="3" t="s">
        <v>181</v>
      </c>
      <c r="E228" s="4">
        <f>IFERROR(INDEX([1]uot!$A$2:$A$40, MATCH("*"&amp;'[1]Personale di appoggio'!$D229&amp;"*", [1]uot!$B$2:$B$40, 0)), "Valore non trovato")</f>
        <v>18</v>
      </c>
      <c r="F228" s="4">
        <f>IF(TRIM('[1]Personale di appoggio'!$F229)=TRIM([1]qualifiche!$E$2),[1]qualifiche!$D$2,
IF(TRIM('[1]Personale di appoggio'!$F229)=TRIM([1]qualifiche!$E$3),[1]qualifiche!$D$3,
IF(TRIM('[1]Personale di appoggio'!$F229)=TRIM([1]qualifiche!$E$4),[1]qualifiche!$D$4,
IF(TRIM('[1]Personale di appoggio'!$F229)=TRIM([1]qualifiche!$E$5),[1]qualifiche!$D$5,
IF(TRIM('[1]Personale di appoggio'!$F229)=TRIM([1]qualifiche!$E$6),[1]qualifiche!$D$6,
IF(TRIM('[1]Personale di appoggio'!$F229)=TRIM([1]qualifiche!$E$7),[1]qualifiche!$D$7,
IF(TRIM('[1]Personale di appoggio'!$F229)=TRIM([1]qualifiche!$E$8),[1]qualifiche!$D$8,
IF(TRIM('[1]Personale di appoggio'!$F229)=TRIM([1]qualifiche!$E$9),[1]qualifiche!$D$9,
IF(TRIM('[1]Personale di appoggio'!$F229)=TRIM([1]qualifiche!$E$10),[1]qualifiche!$D$10,
IF(TRIM('[1]Personale di appoggio'!$F229)=TRIM([1]qualifiche!$E$11),[1]qualifiche!$D$11,""))))))))))</f>
        <v>2</v>
      </c>
      <c r="G228" s="5" t="s">
        <v>1253</v>
      </c>
      <c r="H228" s="5" t="s">
        <v>1254</v>
      </c>
      <c r="I228" s="6" t="s">
        <v>1255</v>
      </c>
      <c r="J228" s="7">
        <f>IF('[1]Personale di appoggio'!J229="X",1,0)</f>
        <v>0</v>
      </c>
      <c r="K228" s="7">
        <f>IF('[1]Personale di appoggio'!K229="X",1,0)</f>
        <v>0</v>
      </c>
      <c r="L228" s="7">
        <f>IF('[1]Personale di appoggio'!L229="X",1,0)</f>
        <v>0</v>
      </c>
      <c r="M228" s="7">
        <f>IF('[1]Personale di appoggio'!M229="X",1,0)</f>
        <v>0</v>
      </c>
      <c r="N228" s="3"/>
      <c r="O228" s="3"/>
      <c r="P228" s="11" t="str">
        <f>IF('[1]Personale di appoggio'!$P229="","",'[1]Personale di appoggio'!$P229)</f>
        <v/>
      </c>
      <c r="Q228" s="4" t="s">
        <v>6</v>
      </c>
      <c r="R228" s="4">
        <f t="shared" si="3"/>
        <v>4</v>
      </c>
    </row>
    <row r="229" spans="1:18" ht="42.75" x14ac:dyDescent="0.45">
      <c r="A229" s="9">
        <v>229</v>
      </c>
      <c r="B229" s="2" t="s">
        <v>1256</v>
      </c>
      <c r="C229" s="3" t="s">
        <v>1257</v>
      </c>
      <c r="D229" s="3" t="s">
        <v>1258</v>
      </c>
      <c r="E229" s="4">
        <f>IFERROR(INDEX([1]uot!$A$2:$A$40, MATCH("*"&amp;'[1]Personale di appoggio'!$D230&amp;"*", [1]uot!$B$2:$B$40, 0)), "Valore non trovato")</f>
        <v>18</v>
      </c>
      <c r="F229" s="4">
        <f>IF(TRIM('[1]Personale di appoggio'!$F230)=TRIM([1]qualifiche!$E$2),[1]qualifiche!$D$2,
IF(TRIM('[1]Personale di appoggio'!$F230)=TRIM([1]qualifiche!$E$3),[1]qualifiche!$D$3,
IF(TRIM('[1]Personale di appoggio'!$F230)=TRIM([1]qualifiche!$E$4),[1]qualifiche!$D$4,
IF(TRIM('[1]Personale di appoggio'!$F230)=TRIM([1]qualifiche!$E$5),[1]qualifiche!$D$5,
IF(TRIM('[1]Personale di appoggio'!$F230)=TRIM([1]qualifiche!$E$6),[1]qualifiche!$D$6,
IF(TRIM('[1]Personale di appoggio'!$F230)=TRIM([1]qualifiche!$E$7),[1]qualifiche!$D$7,
IF(TRIM('[1]Personale di appoggio'!$F230)=TRIM([1]qualifiche!$E$8),[1]qualifiche!$D$8,
IF(TRIM('[1]Personale di appoggio'!$F230)=TRIM([1]qualifiche!$E$9),[1]qualifiche!$D$9,
IF(TRIM('[1]Personale di appoggio'!$F230)=TRIM([1]qualifiche!$E$10),[1]qualifiche!$D$10,
IF(TRIM('[1]Personale di appoggio'!$F230)=TRIM([1]qualifiche!$E$11),[1]qualifiche!$D$11,""))))))))))</f>
        <v>2</v>
      </c>
      <c r="G229" s="5" t="s">
        <v>1259</v>
      </c>
      <c r="H229" s="5" t="s">
        <v>1260</v>
      </c>
      <c r="I229" s="6" t="s">
        <v>1261</v>
      </c>
      <c r="J229" s="7">
        <f>IF('[1]Personale di appoggio'!J230="X",1,0)</f>
        <v>0</v>
      </c>
      <c r="K229" s="7">
        <f>IF('[1]Personale di appoggio'!K230="X",1,0)</f>
        <v>0</v>
      </c>
      <c r="L229" s="7">
        <f>IF('[1]Personale di appoggio'!L230="X",1,0)</f>
        <v>0</v>
      </c>
      <c r="M229" s="7">
        <f>IF('[1]Personale di appoggio'!M230="X",1,0)</f>
        <v>0</v>
      </c>
      <c r="N229" s="3"/>
      <c r="O229" s="3"/>
      <c r="P229" s="11" t="str">
        <f>IF('[1]Personale di appoggio'!$P230="","",'[1]Personale di appoggio'!$P230)</f>
        <v/>
      </c>
      <c r="Q229" s="4" t="s">
        <v>6</v>
      </c>
      <c r="R229" s="4">
        <f t="shared" si="3"/>
        <v>4</v>
      </c>
    </row>
    <row r="230" spans="1:18" ht="31.5" x14ac:dyDescent="0.45">
      <c r="A230" s="9">
        <v>230</v>
      </c>
      <c r="B230" s="2" t="s">
        <v>1262</v>
      </c>
      <c r="C230" s="3" t="s">
        <v>1263</v>
      </c>
      <c r="D230" s="3" t="s">
        <v>352</v>
      </c>
      <c r="E230" s="4">
        <f>IFERROR(INDEX([1]uot!$A$2:$A$40, MATCH("*"&amp;'[1]Personale di appoggio'!$D231&amp;"*", [1]uot!$B$2:$B$40, 0)), "Valore non trovato")</f>
        <v>18</v>
      </c>
      <c r="F230" s="4">
        <f>IF(TRIM('[1]Personale di appoggio'!$F231)=TRIM([1]qualifiche!$E$2),[1]qualifiche!$D$2,
IF(TRIM('[1]Personale di appoggio'!$F231)=TRIM([1]qualifiche!$E$3),[1]qualifiche!$D$3,
IF(TRIM('[1]Personale di appoggio'!$F231)=TRIM([1]qualifiche!$E$4),[1]qualifiche!$D$4,
IF(TRIM('[1]Personale di appoggio'!$F231)=TRIM([1]qualifiche!$E$5),[1]qualifiche!$D$5,
IF(TRIM('[1]Personale di appoggio'!$F231)=TRIM([1]qualifiche!$E$6),[1]qualifiche!$D$6,
IF(TRIM('[1]Personale di appoggio'!$F231)=TRIM([1]qualifiche!$E$7),[1]qualifiche!$D$7,
IF(TRIM('[1]Personale di appoggio'!$F231)=TRIM([1]qualifiche!$E$8),[1]qualifiche!$D$8,
IF(TRIM('[1]Personale di appoggio'!$F231)=TRIM([1]qualifiche!$E$9),[1]qualifiche!$D$9,
IF(TRIM('[1]Personale di appoggio'!$F231)=TRIM([1]qualifiche!$E$10),[1]qualifiche!$D$10,
IF(TRIM('[1]Personale di appoggio'!$F231)=TRIM([1]qualifiche!$E$11),[1]qualifiche!$D$11,""))))))))))</f>
        <v>2</v>
      </c>
      <c r="G230" s="5" t="s">
        <v>1264</v>
      </c>
      <c r="H230" s="5" t="s">
        <v>1265</v>
      </c>
      <c r="I230" s="6" t="s">
        <v>1266</v>
      </c>
      <c r="J230" s="7">
        <f>IF('[1]Personale di appoggio'!J231="X",1,0)</f>
        <v>0</v>
      </c>
      <c r="K230" s="7">
        <f>IF('[1]Personale di appoggio'!K231="X",1,0)</f>
        <v>0</v>
      </c>
      <c r="L230" s="7">
        <f>IF('[1]Personale di appoggio'!L231="X",1,0)</f>
        <v>0</v>
      </c>
      <c r="M230" s="7">
        <f>IF('[1]Personale di appoggio'!M231="X",1,0)</f>
        <v>0</v>
      </c>
      <c r="N230" s="3"/>
      <c r="O230" s="3"/>
      <c r="P230" s="11" t="str">
        <f>IF('[1]Personale di appoggio'!$P231="","",'[1]Personale di appoggio'!$P231)</f>
        <v/>
      </c>
      <c r="Q230" s="4" t="s">
        <v>6</v>
      </c>
      <c r="R230" s="4">
        <f t="shared" si="3"/>
        <v>4</v>
      </c>
    </row>
    <row r="231" spans="1:18" ht="31.5" x14ac:dyDescent="0.45">
      <c r="A231" s="9">
        <v>231</v>
      </c>
      <c r="B231" s="2" t="s">
        <v>1267</v>
      </c>
      <c r="C231" s="3" t="s">
        <v>1005</v>
      </c>
      <c r="D231" s="3" t="s">
        <v>502</v>
      </c>
      <c r="E231" s="4">
        <f>IFERROR(INDEX([1]uot!$A$2:$A$40, MATCH("*"&amp;'[1]Personale di appoggio'!$D232&amp;"*", [1]uot!$B$2:$B$40, 0)), "Valore non trovato")</f>
        <v>18</v>
      </c>
      <c r="F231" s="4">
        <f>IF(TRIM('[1]Personale di appoggio'!$F232)=TRIM([1]qualifiche!$E$2),[1]qualifiche!$D$2,
IF(TRIM('[1]Personale di appoggio'!$F232)=TRIM([1]qualifiche!$E$3),[1]qualifiche!$D$3,
IF(TRIM('[1]Personale di appoggio'!$F232)=TRIM([1]qualifiche!$E$4),[1]qualifiche!$D$4,
IF(TRIM('[1]Personale di appoggio'!$F232)=TRIM([1]qualifiche!$E$5),[1]qualifiche!$D$5,
IF(TRIM('[1]Personale di appoggio'!$F232)=TRIM([1]qualifiche!$E$6),[1]qualifiche!$D$6,
IF(TRIM('[1]Personale di appoggio'!$F232)=TRIM([1]qualifiche!$E$7),[1]qualifiche!$D$7,
IF(TRIM('[1]Personale di appoggio'!$F232)=TRIM([1]qualifiche!$E$8),[1]qualifiche!$D$8,
IF(TRIM('[1]Personale di appoggio'!$F232)=TRIM([1]qualifiche!$E$9),[1]qualifiche!$D$9,
IF(TRIM('[1]Personale di appoggio'!$F232)=TRIM([1]qualifiche!$E$10),[1]qualifiche!$D$10,
IF(TRIM('[1]Personale di appoggio'!$F232)=TRIM([1]qualifiche!$E$11),[1]qualifiche!$D$11,""))))))))))</f>
        <v>2</v>
      </c>
      <c r="G231" s="5" t="s">
        <v>1268</v>
      </c>
      <c r="H231" s="5" t="s">
        <v>1269</v>
      </c>
      <c r="I231" s="6" t="s">
        <v>1270</v>
      </c>
      <c r="J231" s="7">
        <f>IF('[1]Personale di appoggio'!J232="X",1,0)</f>
        <v>0</v>
      </c>
      <c r="K231" s="7">
        <f>IF('[1]Personale di appoggio'!K232="X",1,0)</f>
        <v>0</v>
      </c>
      <c r="L231" s="7">
        <f>IF('[1]Personale di appoggio'!L232="X",1,0)</f>
        <v>0</v>
      </c>
      <c r="M231" s="7">
        <f>IF('[1]Personale di appoggio'!M232="X",1,0)</f>
        <v>0</v>
      </c>
      <c r="N231" s="3"/>
      <c r="O231" s="3"/>
      <c r="P231" s="11" t="str">
        <f>IF('[1]Personale di appoggio'!$P232="","",'[1]Personale di appoggio'!$P232)</f>
        <v/>
      </c>
      <c r="Q231" s="4" t="s">
        <v>6</v>
      </c>
      <c r="R231" s="4">
        <f t="shared" si="3"/>
        <v>4</v>
      </c>
    </row>
    <row r="232" spans="1:18" ht="31.5" x14ac:dyDescent="0.45">
      <c r="A232" s="9">
        <v>232</v>
      </c>
      <c r="B232" s="2" t="s">
        <v>1271</v>
      </c>
      <c r="C232" s="3" t="s">
        <v>1272</v>
      </c>
      <c r="D232" s="3" t="s">
        <v>1273</v>
      </c>
      <c r="E232" s="4">
        <f>IFERROR(INDEX([1]uot!$A$2:$A$40, MATCH("*"&amp;'[1]Personale di appoggio'!$D233&amp;"*", [1]uot!$B$2:$B$40, 0)), "Valore non trovato")</f>
        <v>18</v>
      </c>
      <c r="F232" s="4">
        <f>IF(TRIM('[1]Personale di appoggio'!$F233)=TRIM([1]qualifiche!$E$2),[1]qualifiche!$D$2,
IF(TRIM('[1]Personale di appoggio'!$F233)=TRIM([1]qualifiche!$E$3),[1]qualifiche!$D$3,
IF(TRIM('[1]Personale di appoggio'!$F233)=TRIM([1]qualifiche!$E$4),[1]qualifiche!$D$4,
IF(TRIM('[1]Personale di appoggio'!$F233)=TRIM([1]qualifiche!$E$5),[1]qualifiche!$D$5,
IF(TRIM('[1]Personale di appoggio'!$F233)=TRIM([1]qualifiche!$E$6),[1]qualifiche!$D$6,
IF(TRIM('[1]Personale di appoggio'!$F233)=TRIM([1]qualifiche!$E$7),[1]qualifiche!$D$7,
IF(TRIM('[1]Personale di appoggio'!$F233)=TRIM([1]qualifiche!$E$8),[1]qualifiche!$D$8,
IF(TRIM('[1]Personale di appoggio'!$F233)=TRIM([1]qualifiche!$E$9),[1]qualifiche!$D$9,
IF(TRIM('[1]Personale di appoggio'!$F233)=TRIM([1]qualifiche!$E$10),[1]qualifiche!$D$10,
IF(TRIM('[1]Personale di appoggio'!$F233)=TRIM([1]qualifiche!$E$11),[1]qualifiche!$D$11,""))))))))))</f>
        <v>2</v>
      </c>
      <c r="G232" s="5" t="s">
        <v>1274</v>
      </c>
      <c r="H232" s="5" t="s">
        <v>1275</v>
      </c>
      <c r="I232" s="6" t="s">
        <v>1276</v>
      </c>
      <c r="J232" s="7">
        <f>IF('[1]Personale di appoggio'!J233="X",1,0)</f>
        <v>0</v>
      </c>
      <c r="K232" s="7">
        <f>IF('[1]Personale di appoggio'!K233="X",1,0)</f>
        <v>0</v>
      </c>
      <c r="L232" s="7">
        <f>IF('[1]Personale di appoggio'!L233="X",1,0)</f>
        <v>0</v>
      </c>
      <c r="M232" s="7">
        <f>IF('[1]Personale di appoggio'!M233="X",1,0)</f>
        <v>0</v>
      </c>
      <c r="N232" s="3"/>
      <c r="O232" s="3"/>
      <c r="P232" s="11" t="str">
        <f>IF('[1]Personale di appoggio'!$P233="","",'[1]Personale di appoggio'!$P233)</f>
        <v/>
      </c>
      <c r="Q232" s="4" t="s">
        <v>6</v>
      </c>
      <c r="R232" s="4">
        <f t="shared" si="3"/>
        <v>4</v>
      </c>
    </row>
    <row r="233" spans="1:18" ht="31.5" x14ac:dyDescent="0.45">
      <c r="A233" s="9">
        <v>233</v>
      </c>
      <c r="B233" s="2" t="s">
        <v>1277</v>
      </c>
      <c r="C233" s="3" t="s">
        <v>1272</v>
      </c>
      <c r="D233" s="3" t="s">
        <v>57</v>
      </c>
      <c r="E233" s="4">
        <f>IFERROR(INDEX([1]uot!$A$2:$A$40, MATCH("*"&amp;'[1]Personale di appoggio'!$D234&amp;"*", [1]uot!$B$2:$B$40, 0)), "Valore non trovato")</f>
        <v>18</v>
      </c>
      <c r="F233" s="4">
        <f>IF(TRIM('[1]Personale di appoggio'!$F234)=TRIM([1]qualifiche!$E$2),[1]qualifiche!$D$2,
IF(TRIM('[1]Personale di appoggio'!$F234)=TRIM([1]qualifiche!$E$3),[1]qualifiche!$D$3,
IF(TRIM('[1]Personale di appoggio'!$F234)=TRIM([1]qualifiche!$E$4),[1]qualifiche!$D$4,
IF(TRIM('[1]Personale di appoggio'!$F234)=TRIM([1]qualifiche!$E$5),[1]qualifiche!$D$5,
IF(TRIM('[1]Personale di appoggio'!$F234)=TRIM([1]qualifiche!$E$6),[1]qualifiche!$D$6,
IF(TRIM('[1]Personale di appoggio'!$F234)=TRIM([1]qualifiche!$E$7),[1]qualifiche!$D$7,
IF(TRIM('[1]Personale di appoggio'!$F234)=TRIM([1]qualifiche!$E$8),[1]qualifiche!$D$8,
IF(TRIM('[1]Personale di appoggio'!$F234)=TRIM([1]qualifiche!$E$9),[1]qualifiche!$D$9,
IF(TRIM('[1]Personale di appoggio'!$F234)=TRIM([1]qualifiche!$E$10),[1]qualifiche!$D$10,
IF(TRIM('[1]Personale di appoggio'!$F234)=TRIM([1]qualifiche!$E$11),[1]qualifiche!$D$11,""))))))))))</f>
        <v>2</v>
      </c>
      <c r="G233" s="5" t="s">
        <v>1278</v>
      </c>
      <c r="H233" s="5" t="s">
        <v>1279</v>
      </c>
      <c r="I233" s="6" t="s">
        <v>1280</v>
      </c>
      <c r="J233" s="7">
        <f>IF('[1]Personale di appoggio'!J234="X",1,0)</f>
        <v>0</v>
      </c>
      <c r="K233" s="7">
        <f>IF('[1]Personale di appoggio'!K234="X",1,0)</f>
        <v>0</v>
      </c>
      <c r="L233" s="7">
        <f>IF('[1]Personale di appoggio'!L234="X",1,0)</f>
        <v>0</v>
      </c>
      <c r="M233" s="7">
        <f>IF('[1]Personale di appoggio'!M234="X",1,0)</f>
        <v>0</v>
      </c>
      <c r="N233" s="3"/>
      <c r="O233" s="3"/>
      <c r="P233" s="11" t="str">
        <f>IF('[1]Personale di appoggio'!$P234="","",'[1]Personale di appoggio'!$P234)</f>
        <v/>
      </c>
      <c r="Q233" s="4" t="s">
        <v>6</v>
      </c>
      <c r="R233" s="4">
        <f t="shared" si="3"/>
        <v>4</v>
      </c>
    </row>
    <row r="234" spans="1:18" ht="31.5" x14ac:dyDescent="0.45">
      <c r="A234" s="9">
        <v>234</v>
      </c>
      <c r="B234" s="2" t="s">
        <v>1281</v>
      </c>
      <c r="C234" s="3" t="s">
        <v>1282</v>
      </c>
      <c r="D234" s="3" t="s">
        <v>240</v>
      </c>
      <c r="E234" s="4">
        <f>IFERROR(INDEX([1]uot!$A$2:$A$40, MATCH("*"&amp;'[1]Personale di appoggio'!$D235&amp;"*", [1]uot!$B$2:$B$40, 0)), "Valore non trovato")</f>
        <v>18</v>
      </c>
      <c r="F234" s="4">
        <f>IF(TRIM('[1]Personale di appoggio'!$F235)=TRIM([1]qualifiche!$E$2),[1]qualifiche!$D$2,
IF(TRIM('[1]Personale di appoggio'!$F235)=TRIM([1]qualifiche!$E$3),[1]qualifiche!$D$3,
IF(TRIM('[1]Personale di appoggio'!$F235)=TRIM([1]qualifiche!$E$4),[1]qualifiche!$D$4,
IF(TRIM('[1]Personale di appoggio'!$F235)=TRIM([1]qualifiche!$E$5),[1]qualifiche!$D$5,
IF(TRIM('[1]Personale di appoggio'!$F235)=TRIM([1]qualifiche!$E$6),[1]qualifiche!$D$6,
IF(TRIM('[1]Personale di appoggio'!$F235)=TRIM([1]qualifiche!$E$7),[1]qualifiche!$D$7,
IF(TRIM('[1]Personale di appoggio'!$F235)=TRIM([1]qualifiche!$E$8),[1]qualifiche!$D$8,
IF(TRIM('[1]Personale di appoggio'!$F235)=TRIM([1]qualifiche!$E$9),[1]qualifiche!$D$9,
IF(TRIM('[1]Personale di appoggio'!$F235)=TRIM([1]qualifiche!$E$10),[1]qualifiche!$D$10,
IF(TRIM('[1]Personale di appoggio'!$F235)=TRIM([1]qualifiche!$E$11),[1]qualifiche!$D$11,""))))))))))</f>
        <v>2</v>
      </c>
      <c r="G234" s="5" t="s">
        <v>1283</v>
      </c>
      <c r="H234" s="5" t="s">
        <v>1284</v>
      </c>
      <c r="I234" s="6" t="s">
        <v>1285</v>
      </c>
      <c r="J234" s="7">
        <f>IF('[1]Personale di appoggio'!J235="X",1,0)</f>
        <v>0</v>
      </c>
      <c r="K234" s="7">
        <f>IF('[1]Personale di appoggio'!K235="X",1,0)</f>
        <v>0</v>
      </c>
      <c r="L234" s="7">
        <f>IF('[1]Personale di appoggio'!L235="X",1,0)</f>
        <v>0</v>
      </c>
      <c r="M234" s="7">
        <f>IF('[1]Personale di appoggio'!M235="X",1,0)</f>
        <v>0</v>
      </c>
      <c r="N234" s="3"/>
      <c r="O234" s="3"/>
      <c r="P234" s="11" t="str">
        <f>IF('[1]Personale di appoggio'!$P235="","",'[1]Personale di appoggio'!$P235)</f>
        <v/>
      </c>
      <c r="Q234" s="4" t="s">
        <v>6</v>
      </c>
      <c r="R234" s="4">
        <f t="shared" si="3"/>
        <v>4</v>
      </c>
    </row>
    <row r="235" spans="1:18" ht="31.5" x14ac:dyDescent="0.45">
      <c r="A235" s="9">
        <v>235</v>
      </c>
      <c r="B235" s="2" t="s">
        <v>1286</v>
      </c>
      <c r="C235" s="3" t="s">
        <v>1287</v>
      </c>
      <c r="D235" s="3" t="s">
        <v>1288</v>
      </c>
      <c r="E235" s="4">
        <f>IFERROR(INDEX([1]uot!$A$2:$A$40, MATCH("*"&amp;'[1]Personale di appoggio'!$D236&amp;"*", [1]uot!$B$2:$B$40, 0)), "Valore non trovato")</f>
        <v>18</v>
      </c>
      <c r="F235" s="4">
        <f>IF(TRIM('[1]Personale di appoggio'!$F236)=TRIM([1]qualifiche!$E$2),[1]qualifiche!$D$2,
IF(TRIM('[1]Personale di appoggio'!$F236)=TRIM([1]qualifiche!$E$3),[1]qualifiche!$D$3,
IF(TRIM('[1]Personale di appoggio'!$F236)=TRIM([1]qualifiche!$E$4),[1]qualifiche!$D$4,
IF(TRIM('[1]Personale di appoggio'!$F236)=TRIM([1]qualifiche!$E$5),[1]qualifiche!$D$5,
IF(TRIM('[1]Personale di appoggio'!$F236)=TRIM([1]qualifiche!$E$6),[1]qualifiche!$D$6,
IF(TRIM('[1]Personale di appoggio'!$F236)=TRIM([1]qualifiche!$E$7),[1]qualifiche!$D$7,
IF(TRIM('[1]Personale di appoggio'!$F236)=TRIM([1]qualifiche!$E$8),[1]qualifiche!$D$8,
IF(TRIM('[1]Personale di appoggio'!$F236)=TRIM([1]qualifiche!$E$9),[1]qualifiche!$D$9,
IF(TRIM('[1]Personale di appoggio'!$F236)=TRIM([1]qualifiche!$E$10),[1]qualifiche!$D$10,
IF(TRIM('[1]Personale di appoggio'!$F236)=TRIM([1]qualifiche!$E$11),[1]qualifiche!$D$11,""))))))))))</f>
        <v>2</v>
      </c>
      <c r="G235" s="5" t="s">
        <v>1289</v>
      </c>
      <c r="H235" s="5" t="s">
        <v>1290</v>
      </c>
      <c r="I235" s="6" t="s">
        <v>1291</v>
      </c>
      <c r="J235" s="7">
        <f>IF('[1]Personale di appoggio'!J236="X",1,0)</f>
        <v>0</v>
      </c>
      <c r="K235" s="7">
        <f>IF('[1]Personale di appoggio'!K236="X",1,0)</f>
        <v>0</v>
      </c>
      <c r="L235" s="7">
        <f>IF('[1]Personale di appoggio'!L236="X",1,0)</f>
        <v>0</v>
      </c>
      <c r="M235" s="7">
        <f>IF('[1]Personale di appoggio'!M236="X",1,0)</f>
        <v>0</v>
      </c>
      <c r="N235" s="3"/>
      <c r="O235" s="3"/>
      <c r="P235" s="11" t="str">
        <f>IF('[1]Personale di appoggio'!$P236="","",'[1]Personale di appoggio'!$P236)</f>
        <v/>
      </c>
      <c r="Q235" s="4" t="s">
        <v>6</v>
      </c>
      <c r="R235" s="4">
        <f t="shared" si="3"/>
        <v>4</v>
      </c>
    </row>
    <row r="236" spans="1:18" ht="31.5" x14ac:dyDescent="0.45">
      <c r="A236" s="9">
        <v>236</v>
      </c>
      <c r="B236" s="2" t="s">
        <v>1292</v>
      </c>
      <c r="C236" s="3" t="s">
        <v>1293</v>
      </c>
      <c r="D236" s="3" t="s">
        <v>1294</v>
      </c>
      <c r="E236" s="4">
        <f>IFERROR(INDEX([1]uot!$A$2:$A$40, MATCH("*"&amp;'[1]Personale di appoggio'!$D237&amp;"*", [1]uot!$B$2:$B$40, 0)), "Valore non trovato")</f>
        <v>18</v>
      </c>
      <c r="F236" s="4">
        <f>IF(TRIM('[1]Personale di appoggio'!$F237)=TRIM([1]qualifiche!$E$2),[1]qualifiche!$D$2,
IF(TRIM('[1]Personale di appoggio'!$F237)=TRIM([1]qualifiche!$E$3),[1]qualifiche!$D$3,
IF(TRIM('[1]Personale di appoggio'!$F237)=TRIM([1]qualifiche!$E$4),[1]qualifiche!$D$4,
IF(TRIM('[1]Personale di appoggio'!$F237)=TRIM([1]qualifiche!$E$5),[1]qualifiche!$D$5,
IF(TRIM('[1]Personale di appoggio'!$F237)=TRIM([1]qualifiche!$E$6),[1]qualifiche!$D$6,
IF(TRIM('[1]Personale di appoggio'!$F237)=TRIM([1]qualifiche!$E$7),[1]qualifiche!$D$7,
IF(TRIM('[1]Personale di appoggio'!$F237)=TRIM([1]qualifiche!$E$8),[1]qualifiche!$D$8,
IF(TRIM('[1]Personale di appoggio'!$F237)=TRIM([1]qualifiche!$E$9),[1]qualifiche!$D$9,
IF(TRIM('[1]Personale di appoggio'!$F237)=TRIM([1]qualifiche!$E$10),[1]qualifiche!$D$10,
IF(TRIM('[1]Personale di appoggio'!$F237)=TRIM([1]qualifiche!$E$11),[1]qualifiche!$D$11,""))))))))))</f>
        <v>4</v>
      </c>
      <c r="G236" s="5" t="s">
        <v>1295</v>
      </c>
      <c r="H236" s="5" t="s">
        <v>1296</v>
      </c>
      <c r="I236" s="6" t="s">
        <v>1297</v>
      </c>
      <c r="J236" s="7">
        <f>IF('[1]Personale di appoggio'!J237="X",1,0)</f>
        <v>0</v>
      </c>
      <c r="K236" s="7">
        <f>IF('[1]Personale di appoggio'!K237="X",1,0)</f>
        <v>0</v>
      </c>
      <c r="L236" s="7">
        <f>IF('[1]Personale di appoggio'!L237="X",1,0)</f>
        <v>0</v>
      </c>
      <c r="M236" s="7">
        <f>IF('[1]Personale di appoggio'!M237="X",1,0)</f>
        <v>0</v>
      </c>
      <c r="N236" s="3"/>
      <c r="O236" s="3"/>
      <c r="P236" s="11" t="str">
        <f>IF('[1]Personale di appoggio'!$P237="","",'[1]Personale di appoggio'!$P237)</f>
        <v/>
      </c>
      <c r="Q236" s="4" t="s">
        <v>6</v>
      </c>
      <c r="R236" s="4">
        <f t="shared" si="3"/>
        <v>4</v>
      </c>
    </row>
    <row r="237" spans="1:18" ht="31.5" x14ac:dyDescent="0.45">
      <c r="A237" s="9">
        <v>237</v>
      </c>
      <c r="B237" s="2" t="s">
        <v>1298</v>
      </c>
      <c r="C237" s="3" t="s">
        <v>1299</v>
      </c>
      <c r="D237" s="3" t="s">
        <v>547</v>
      </c>
      <c r="E237" s="4">
        <f>IFERROR(INDEX([1]uot!$A$2:$A$40, MATCH("*"&amp;'[1]Personale di appoggio'!$D238&amp;"*", [1]uot!$B$2:$B$40, 0)), "Valore non trovato")</f>
        <v>18</v>
      </c>
      <c r="F237" s="4">
        <f>IF(TRIM('[1]Personale di appoggio'!$F238)=TRIM([1]qualifiche!$E$2),[1]qualifiche!$D$2,
IF(TRIM('[1]Personale di appoggio'!$F238)=TRIM([1]qualifiche!$E$3),[1]qualifiche!$D$3,
IF(TRIM('[1]Personale di appoggio'!$F238)=TRIM([1]qualifiche!$E$4),[1]qualifiche!$D$4,
IF(TRIM('[1]Personale di appoggio'!$F238)=TRIM([1]qualifiche!$E$5),[1]qualifiche!$D$5,
IF(TRIM('[1]Personale di appoggio'!$F238)=TRIM([1]qualifiche!$E$6),[1]qualifiche!$D$6,
IF(TRIM('[1]Personale di appoggio'!$F238)=TRIM([1]qualifiche!$E$7),[1]qualifiche!$D$7,
IF(TRIM('[1]Personale di appoggio'!$F238)=TRIM([1]qualifiche!$E$8),[1]qualifiche!$D$8,
IF(TRIM('[1]Personale di appoggio'!$F238)=TRIM([1]qualifiche!$E$9),[1]qualifiche!$D$9,
IF(TRIM('[1]Personale di appoggio'!$F238)=TRIM([1]qualifiche!$E$10),[1]qualifiche!$D$10,
IF(TRIM('[1]Personale di appoggio'!$F238)=TRIM([1]qualifiche!$E$11),[1]qualifiche!$D$11,""))))))))))</f>
        <v>4</v>
      </c>
      <c r="G237" s="5" t="s">
        <v>1300</v>
      </c>
      <c r="H237" s="5" t="s">
        <v>1301</v>
      </c>
      <c r="I237" s="6" t="s">
        <v>1302</v>
      </c>
      <c r="J237" s="7">
        <f>IF('[1]Personale di appoggio'!J238="X",1,0)</f>
        <v>0</v>
      </c>
      <c r="K237" s="7">
        <f>IF('[1]Personale di appoggio'!K238="X",1,0)</f>
        <v>0</v>
      </c>
      <c r="L237" s="7">
        <f>IF('[1]Personale di appoggio'!L238="X",1,0)</f>
        <v>0</v>
      </c>
      <c r="M237" s="7">
        <f>IF('[1]Personale di appoggio'!M238="X",1,0)</f>
        <v>0</v>
      </c>
      <c r="N237" s="3"/>
      <c r="O237" s="3"/>
      <c r="P237" s="11" t="str">
        <f>IF('[1]Personale di appoggio'!$P238="","",'[1]Personale di appoggio'!$P238)</f>
        <v/>
      </c>
      <c r="Q237" s="4" t="s">
        <v>6</v>
      </c>
      <c r="R237" s="4">
        <f t="shared" si="3"/>
        <v>4</v>
      </c>
    </row>
    <row r="238" spans="1:18" ht="31.5" x14ac:dyDescent="0.45">
      <c r="A238" s="9">
        <v>238</v>
      </c>
      <c r="B238" s="2" t="s">
        <v>1303</v>
      </c>
      <c r="C238" s="3" t="s">
        <v>1304</v>
      </c>
      <c r="D238" s="3" t="s">
        <v>1305</v>
      </c>
      <c r="E238" s="4">
        <f>IFERROR(INDEX([1]uot!$A$2:$A$40, MATCH("*"&amp;'[1]Personale di appoggio'!$D239&amp;"*", [1]uot!$B$2:$B$40, 0)), "Valore non trovato")</f>
        <v>18</v>
      </c>
      <c r="F238" s="4">
        <f>IF(TRIM('[1]Personale di appoggio'!$F239)=TRIM([1]qualifiche!$E$2),[1]qualifiche!$D$2,
IF(TRIM('[1]Personale di appoggio'!$F239)=TRIM([1]qualifiche!$E$3),[1]qualifiche!$D$3,
IF(TRIM('[1]Personale di appoggio'!$F239)=TRIM([1]qualifiche!$E$4),[1]qualifiche!$D$4,
IF(TRIM('[1]Personale di appoggio'!$F239)=TRIM([1]qualifiche!$E$5),[1]qualifiche!$D$5,
IF(TRIM('[1]Personale di appoggio'!$F239)=TRIM([1]qualifiche!$E$6),[1]qualifiche!$D$6,
IF(TRIM('[1]Personale di appoggio'!$F239)=TRIM([1]qualifiche!$E$7),[1]qualifiche!$D$7,
IF(TRIM('[1]Personale di appoggio'!$F239)=TRIM([1]qualifiche!$E$8),[1]qualifiche!$D$8,
IF(TRIM('[1]Personale di appoggio'!$F239)=TRIM([1]qualifiche!$E$9),[1]qualifiche!$D$9,
IF(TRIM('[1]Personale di appoggio'!$F239)=TRIM([1]qualifiche!$E$10),[1]qualifiche!$D$10,
IF(TRIM('[1]Personale di appoggio'!$F239)=TRIM([1]qualifiche!$E$11),[1]qualifiche!$D$11,""))))))))))</f>
        <v>4</v>
      </c>
      <c r="G238" s="5" t="s">
        <v>1306</v>
      </c>
      <c r="H238" s="5" t="s">
        <v>1307</v>
      </c>
      <c r="I238" s="6" t="s">
        <v>1308</v>
      </c>
      <c r="J238" s="7">
        <f>IF('[1]Personale di appoggio'!J239="X",1,0)</f>
        <v>0</v>
      </c>
      <c r="K238" s="7">
        <f>IF('[1]Personale di appoggio'!K239="X",1,0)</f>
        <v>0</v>
      </c>
      <c r="L238" s="7">
        <f>IF('[1]Personale di appoggio'!L239="X",1,0)</f>
        <v>0</v>
      </c>
      <c r="M238" s="7">
        <f>IF('[1]Personale di appoggio'!M239="X",1,0)</f>
        <v>0</v>
      </c>
      <c r="N238" s="3"/>
      <c r="O238" s="3"/>
      <c r="P238" s="11" t="str">
        <f>IF('[1]Personale di appoggio'!$P239="","",'[1]Personale di appoggio'!$P239)</f>
        <v/>
      </c>
      <c r="Q238" s="4" t="s">
        <v>6</v>
      </c>
      <c r="R238" s="4">
        <f t="shared" si="3"/>
        <v>4</v>
      </c>
    </row>
    <row r="239" spans="1:18" ht="31.5" x14ac:dyDescent="0.45">
      <c r="A239" s="9">
        <v>239</v>
      </c>
      <c r="B239" s="2" t="s">
        <v>1309</v>
      </c>
      <c r="C239" s="3" t="s">
        <v>1310</v>
      </c>
      <c r="D239" s="3" t="s">
        <v>63</v>
      </c>
      <c r="E239" s="4">
        <f>IFERROR(INDEX([1]uot!$A$2:$A$40, MATCH("*"&amp;'[1]Personale di appoggio'!$D240&amp;"*", [1]uot!$B$2:$B$40, 0)), "Valore non trovato")</f>
        <v>18</v>
      </c>
      <c r="F239" s="4">
        <f>IF(TRIM('[1]Personale di appoggio'!$F240)=TRIM([1]qualifiche!$E$2),[1]qualifiche!$D$2,
IF(TRIM('[1]Personale di appoggio'!$F240)=TRIM([1]qualifiche!$E$3),[1]qualifiche!$D$3,
IF(TRIM('[1]Personale di appoggio'!$F240)=TRIM([1]qualifiche!$E$4),[1]qualifiche!$D$4,
IF(TRIM('[1]Personale di appoggio'!$F240)=TRIM([1]qualifiche!$E$5),[1]qualifiche!$D$5,
IF(TRIM('[1]Personale di appoggio'!$F240)=TRIM([1]qualifiche!$E$6),[1]qualifiche!$D$6,
IF(TRIM('[1]Personale di appoggio'!$F240)=TRIM([1]qualifiche!$E$7),[1]qualifiche!$D$7,
IF(TRIM('[1]Personale di appoggio'!$F240)=TRIM([1]qualifiche!$E$8),[1]qualifiche!$D$8,
IF(TRIM('[1]Personale di appoggio'!$F240)=TRIM([1]qualifiche!$E$9),[1]qualifiche!$D$9,
IF(TRIM('[1]Personale di appoggio'!$F240)=TRIM([1]qualifiche!$E$10),[1]qualifiche!$D$10,
IF(TRIM('[1]Personale di appoggio'!$F240)=TRIM([1]qualifiche!$E$11),[1]qualifiche!$D$11,""))))))))))</f>
        <v>7</v>
      </c>
      <c r="G239" s="5" t="s">
        <v>1311</v>
      </c>
      <c r="H239" s="5" t="s">
        <v>1312</v>
      </c>
      <c r="I239" s="6" t="s">
        <v>1313</v>
      </c>
      <c r="J239" s="7">
        <f>IF('[1]Personale di appoggio'!J240="X",1,0)</f>
        <v>0</v>
      </c>
      <c r="K239" s="7">
        <f>IF('[1]Personale di appoggio'!K240="X",1,0)</f>
        <v>0</v>
      </c>
      <c r="L239" s="7">
        <f>IF('[1]Personale di appoggio'!L240="X",1,0)</f>
        <v>0</v>
      </c>
      <c r="M239" s="7">
        <f>IF('[1]Personale di appoggio'!M240="X",1,0)</f>
        <v>0</v>
      </c>
      <c r="N239" s="3"/>
      <c r="O239" s="3"/>
      <c r="P239" s="11" t="str">
        <f>IF('[1]Personale di appoggio'!$P240="","",'[1]Personale di appoggio'!$P240)</f>
        <v/>
      </c>
      <c r="Q239" s="4" t="s">
        <v>6</v>
      </c>
      <c r="R239" s="4">
        <f t="shared" si="3"/>
        <v>4</v>
      </c>
    </row>
    <row r="240" spans="1:18" ht="31.5" x14ac:dyDescent="0.45">
      <c r="A240" s="9">
        <v>240</v>
      </c>
      <c r="B240" s="2" t="s">
        <v>1314</v>
      </c>
      <c r="C240" s="3" t="s">
        <v>1315</v>
      </c>
      <c r="D240" s="3" t="s">
        <v>1316</v>
      </c>
      <c r="E240" s="4">
        <f>IFERROR(INDEX([1]uot!$A$2:$A$40, MATCH("*"&amp;'[1]Personale di appoggio'!$D241&amp;"*", [1]uot!$B$2:$B$40, 0)), "Valore non trovato")</f>
        <v>18</v>
      </c>
      <c r="F240" s="4">
        <f>IF(TRIM('[1]Personale di appoggio'!$F241)=TRIM([1]qualifiche!$E$2),[1]qualifiche!$D$2,
IF(TRIM('[1]Personale di appoggio'!$F241)=TRIM([1]qualifiche!$E$3),[1]qualifiche!$D$3,
IF(TRIM('[1]Personale di appoggio'!$F241)=TRIM([1]qualifiche!$E$4),[1]qualifiche!$D$4,
IF(TRIM('[1]Personale di appoggio'!$F241)=TRIM([1]qualifiche!$E$5),[1]qualifiche!$D$5,
IF(TRIM('[1]Personale di appoggio'!$F241)=TRIM([1]qualifiche!$E$6),[1]qualifiche!$D$6,
IF(TRIM('[1]Personale di appoggio'!$F241)=TRIM([1]qualifiche!$E$7),[1]qualifiche!$D$7,
IF(TRIM('[1]Personale di appoggio'!$F241)=TRIM([1]qualifiche!$E$8),[1]qualifiche!$D$8,
IF(TRIM('[1]Personale di appoggio'!$F241)=TRIM([1]qualifiche!$E$9),[1]qualifiche!$D$9,
IF(TRIM('[1]Personale di appoggio'!$F241)=TRIM([1]qualifiche!$E$10),[1]qualifiche!$D$10,
IF(TRIM('[1]Personale di appoggio'!$F241)=TRIM([1]qualifiche!$E$11),[1]qualifiche!$D$11,""))))))))))</f>
        <v>7</v>
      </c>
      <c r="G240" s="5" t="s">
        <v>1317</v>
      </c>
      <c r="H240" s="5" t="s">
        <v>1318</v>
      </c>
      <c r="I240" s="6" t="s">
        <v>1319</v>
      </c>
      <c r="J240" s="7">
        <f>IF('[1]Personale di appoggio'!J241="X",1,0)</f>
        <v>0</v>
      </c>
      <c r="K240" s="7">
        <f>IF('[1]Personale di appoggio'!K241="X",1,0)</f>
        <v>0</v>
      </c>
      <c r="L240" s="7">
        <f>IF('[1]Personale di appoggio'!L241="X",1,0)</f>
        <v>0</v>
      </c>
      <c r="M240" s="7">
        <f>IF('[1]Personale di appoggio'!M241="X",1,0)</f>
        <v>0</v>
      </c>
      <c r="N240" s="3"/>
      <c r="O240" s="3"/>
      <c r="P240" s="11" t="str">
        <f>IF('[1]Personale di appoggio'!$P241="","",'[1]Personale di appoggio'!$P241)</f>
        <v/>
      </c>
      <c r="Q240" s="4" t="s">
        <v>6</v>
      </c>
      <c r="R240" s="4">
        <f t="shared" si="3"/>
        <v>4</v>
      </c>
    </row>
    <row r="241" spans="1:18" ht="31.5" x14ac:dyDescent="0.45">
      <c r="A241" s="9">
        <v>241</v>
      </c>
      <c r="B241" s="2" t="s">
        <v>1320</v>
      </c>
      <c r="C241" s="3" t="s">
        <v>1321</v>
      </c>
      <c r="D241" s="3" t="s">
        <v>324</v>
      </c>
      <c r="E241" s="4">
        <f>IFERROR(INDEX([1]uot!$A$2:$A$40, MATCH("*"&amp;'[1]Personale di appoggio'!$D242&amp;"*", [1]uot!$B$2:$B$40, 0)), "Valore non trovato")</f>
        <v>18</v>
      </c>
      <c r="F241" s="4">
        <f>IF(TRIM('[1]Personale di appoggio'!$F242)=TRIM([1]qualifiche!$E$2),[1]qualifiche!$D$2,
IF(TRIM('[1]Personale di appoggio'!$F242)=TRIM([1]qualifiche!$E$3),[1]qualifiche!$D$3,
IF(TRIM('[1]Personale di appoggio'!$F242)=TRIM([1]qualifiche!$E$4),[1]qualifiche!$D$4,
IF(TRIM('[1]Personale di appoggio'!$F242)=TRIM([1]qualifiche!$E$5),[1]qualifiche!$D$5,
IF(TRIM('[1]Personale di appoggio'!$F242)=TRIM([1]qualifiche!$E$6),[1]qualifiche!$D$6,
IF(TRIM('[1]Personale di appoggio'!$F242)=TRIM([1]qualifiche!$E$7),[1]qualifiche!$D$7,
IF(TRIM('[1]Personale di appoggio'!$F242)=TRIM([1]qualifiche!$E$8),[1]qualifiche!$D$8,
IF(TRIM('[1]Personale di appoggio'!$F242)=TRIM([1]qualifiche!$E$9),[1]qualifiche!$D$9,
IF(TRIM('[1]Personale di appoggio'!$F242)=TRIM([1]qualifiche!$E$10),[1]qualifiche!$D$10,
IF(TRIM('[1]Personale di appoggio'!$F242)=TRIM([1]qualifiche!$E$11),[1]qualifiche!$D$11,""))))))))))</f>
        <v>7</v>
      </c>
      <c r="G241" s="5" t="s">
        <v>1322</v>
      </c>
      <c r="H241" s="5"/>
      <c r="I241" s="6" t="s">
        <v>1323</v>
      </c>
      <c r="J241" s="7">
        <f>IF('[1]Personale di appoggio'!J242="X",1,0)</f>
        <v>0</v>
      </c>
      <c r="K241" s="7">
        <f>IF('[1]Personale di appoggio'!K242="X",1,0)</f>
        <v>0</v>
      </c>
      <c r="L241" s="7">
        <f>IF('[1]Personale di appoggio'!L242="X",1,0)</f>
        <v>0</v>
      </c>
      <c r="M241" s="7">
        <f>IF('[1]Personale di appoggio'!M242="X",1,0)</f>
        <v>0</v>
      </c>
      <c r="N241" s="3"/>
      <c r="O241" s="3"/>
      <c r="P241" s="11" t="str">
        <f>IF('[1]Personale di appoggio'!$P242="","",'[1]Personale di appoggio'!$P242)</f>
        <v/>
      </c>
      <c r="Q241" s="4" t="s">
        <v>6</v>
      </c>
      <c r="R241" s="4">
        <f t="shared" si="3"/>
        <v>4</v>
      </c>
    </row>
    <row r="242" spans="1:18" ht="31.5" x14ac:dyDescent="0.45">
      <c r="A242" s="9">
        <v>242</v>
      </c>
      <c r="B242" s="2" t="s">
        <v>1324</v>
      </c>
      <c r="C242" s="3" t="s">
        <v>1325</v>
      </c>
      <c r="D242" s="3" t="s">
        <v>513</v>
      </c>
      <c r="E242" s="4">
        <f>IFERROR(INDEX([1]uot!$A$2:$A$40, MATCH("*"&amp;'[1]Personale di appoggio'!$D243&amp;"*", [1]uot!$B$2:$B$40, 0)), "Valore non trovato")</f>
        <v>18</v>
      </c>
      <c r="F242" s="4">
        <f>IF(TRIM('[1]Personale di appoggio'!$F243)=TRIM([1]qualifiche!$E$2),[1]qualifiche!$D$2,
IF(TRIM('[1]Personale di appoggio'!$F243)=TRIM([1]qualifiche!$E$3),[1]qualifiche!$D$3,
IF(TRIM('[1]Personale di appoggio'!$F243)=TRIM([1]qualifiche!$E$4),[1]qualifiche!$D$4,
IF(TRIM('[1]Personale di appoggio'!$F243)=TRIM([1]qualifiche!$E$5),[1]qualifiche!$D$5,
IF(TRIM('[1]Personale di appoggio'!$F243)=TRIM([1]qualifiche!$E$6),[1]qualifiche!$D$6,
IF(TRIM('[1]Personale di appoggio'!$F243)=TRIM([1]qualifiche!$E$7),[1]qualifiche!$D$7,
IF(TRIM('[1]Personale di appoggio'!$F243)=TRIM([1]qualifiche!$E$8),[1]qualifiche!$D$8,
IF(TRIM('[1]Personale di appoggio'!$F243)=TRIM([1]qualifiche!$E$9),[1]qualifiche!$D$9,
IF(TRIM('[1]Personale di appoggio'!$F243)=TRIM([1]qualifiche!$E$10),[1]qualifiche!$D$10,
IF(TRIM('[1]Personale di appoggio'!$F243)=TRIM([1]qualifiche!$E$11),[1]qualifiche!$D$11,""))))))))))</f>
        <v>7</v>
      </c>
      <c r="G242" s="5" t="s">
        <v>1326</v>
      </c>
      <c r="H242" s="5" t="s">
        <v>1327</v>
      </c>
      <c r="I242" s="6" t="s">
        <v>1328</v>
      </c>
      <c r="J242" s="7">
        <f>IF('[1]Personale di appoggio'!J243="X",1,0)</f>
        <v>0</v>
      </c>
      <c r="K242" s="7">
        <f>IF('[1]Personale di appoggio'!K243="X",1,0)</f>
        <v>0</v>
      </c>
      <c r="L242" s="7">
        <f>IF('[1]Personale di appoggio'!L243="X",1,0)</f>
        <v>0</v>
      </c>
      <c r="M242" s="7">
        <f>IF('[1]Personale di appoggio'!M243="X",1,0)</f>
        <v>0</v>
      </c>
      <c r="N242" s="3"/>
      <c r="O242" s="3"/>
      <c r="P242" s="11" t="str">
        <f>IF('[1]Personale di appoggio'!$P243="","",'[1]Personale di appoggio'!$P243)</f>
        <v/>
      </c>
      <c r="Q242" s="4" t="s">
        <v>6</v>
      </c>
      <c r="R242" s="4">
        <f t="shared" si="3"/>
        <v>4</v>
      </c>
    </row>
    <row r="243" spans="1:18" ht="31.5" x14ac:dyDescent="0.45">
      <c r="A243" s="9">
        <v>243</v>
      </c>
      <c r="B243" s="2" t="s">
        <v>1329</v>
      </c>
      <c r="C243" s="3" t="s">
        <v>1330</v>
      </c>
      <c r="D243" s="3" t="s">
        <v>769</v>
      </c>
      <c r="E243" s="4">
        <f>IFERROR(INDEX([1]uot!$A$2:$A$40, MATCH("*"&amp;'[1]Personale di appoggio'!$D244&amp;"*", [1]uot!$B$2:$B$40, 0)), "Valore non trovato")</f>
        <v>18</v>
      </c>
      <c r="F243" s="4">
        <f>IF(TRIM('[1]Personale di appoggio'!$F244)=TRIM([1]qualifiche!$E$2),[1]qualifiche!$D$2,
IF(TRIM('[1]Personale di appoggio'!$F244)=TRIM([1]qualifiche!$E$3),[1]qualifiche!$D$3,
IF(TRIM('[1]Personale di appoggio'!$F244)=TRIM([1]qualifiche!$E$4),[1]qualifiche!$D$4,
IF(TRIM('[1]Personale di appoggio'!$F244)=TRIM([1]qualifiche!$E$5),[1]qualifiche!$D$5,
IF(TRIM('[1]Personale di appoggio'!$F244)=TRIM([1]qualifiche!$E$6),[1]qualifiche!$D$6,
IF(TRIM('[1]Personale di appoggio'!$F244)=TRIM([1]qualifiche!$E$7),[1]qualifiche!$D$7,
IF(TRIM('[1]Personale di appoggio'!$F244)=TRIM([1]qualifiche!$E$8),[1]qualifiche!$D$8,
IF(TRIM('[1]Personale di appoggio'!$F244)=TRIM([1]qualifiche!$E$9),[1]qualifiche!$D$9,
IF(TRIM('[1]Personale di appoggio'!$F244)=TRIM([1]qualifiche!$E$10),[1]qualifiche!$D$10,
IF(TRIM('[1]Personale di appoggio'!$F244)=TRIM([1]qualifiche!$E$11),[1]qualifiche!$D$11,""))))))))))</f>
        <v>8</v>
      </c>
      <c r="G243" s="5" t="s">
        <v>1331</v>
      </c>
      <c r="H243" s="5" t="s">
        <v>1332</v>
      </c>
      <c r="I243" s="6" t="s">
        <v>1333</v>
      </c>
      <c r="J243" s="7">
        <f>IF('[1]Personale di appoggio'!J244="X",1,0)</f>
        <v>0</v>
      </c>
      <c r="K243" s="7">
        <f>IF('[1]Personale di appoggio'!K244="X",1,0)</f>
        <v>0</v>
      </c>
      <c r="L243" s="7">
        <f>IF('[1]Personale di appoggio'!L244="X",1,0)</f>
        <v>0</v>
      </c>
      <c r="M243" s="7">
        <f>IF('[1]Personale di appoggio'!M244="X",1,0)</f>
        <v>0</v>
      </c>
      <c r="N243" s="3"/>
      <c r="O243" s="3"/>
      <c r="P243" s="11" t="str">
        <f>IF('[1]Personale di appoggio'!$P244="","",'[1]Personale di appoggio'!$P244)</f>
        <v/>
      </c>
      <c r="Q243" s="4" t="s">
        <v>6</v>
      </c>
      <c r="R243" s="4">
        <f t="shared" si="3"/>
        <v>4</v>
      </c>
    </row>
    <row r="244" spans="1:18" ht="31.5" x14ac:dyDescent="0.45">
      <c r="A244" s="9">
        <v>244</v>
      </c>
      <c r="B244" s="2" t="s">
        <v>1334</v>
      </c>
      <c r="C244" s="3" t="s">
        <v>1335</v>
      </c>
      <c r="D244" s="3" t="s">
        <v>1336</v>
      </c>
      <c r="E244" s="4">
        <f>IFERROR(INDEX([1]uot!$A$2:$A$40, MATCH("*"&amp;'[1]Personale di appoggio'!$D245&amp;"*", [1]uot!$B$2:$B$40, 0)), "Valore non trovato")</f>
        <v>18</v>
      </c>
      <c r="F244" s="4">
        <f>IF(TRIM('[1]Personale di appoggio'!$F245)=TRIM([1]qualifiche!$E$2),[1]qualifiche!$D$2,
IF(TRIM('[1]Personale di appoggio'!$F245)=TRIM([1]qualifiche!$E$3),[1]qualifiche!$D$3,
IF(TRIM('[1]Personale di appoggio'!$F245)=TRIM([1]qualifiche!$E$4),[1]qualifiche!$D$4,
IF(TRIM('[1]Personale di appoggio'!$F245)=TRIM([1]qualifiche!$E$5),[1]qualifiche!$D$5,
IF(TRIM('[1]Personale di appoggio'!$F245)=TRIM([1]qualifiche!$E$6),[1]qualifiche!$D$6,
IF(TRIM('[1]Personale di appoggio'!$F245)=TRIM([1]qualifiche!$E$7),[1]qualifiche!$D$7,
IF(TRIM('[1]Personale di appoggio'!$F245)=TRIM([1]qualifiche!$E$8),[1]qualifiche!$D$8,
IF(TRIM('[1]Personale di appoggio'!$F245)=TRIM([1]qualifiche!$E$9),[1]qualifiche!$D$9,
IF(TRIM('[1]Personale di appoggio'!$F245)=TRIM([1]qualifiche!$E$10),[1]qualifiche!$D$10,
IF(TRIM('[1]Personale di appoggio'!$F245)=TRIM([1]qualifiche!$E$11),[1]qualifiche!$D$11,""))))))))))</f>
        <v>8</v>
      </c>
      <c r="G244" s="5" t="s">
        <v>1337</v>
      </c>
      <c r="H244" s="5" t="s">
        <v>1338</v>
      </c>
      <c r="I244" s="6" t="s">
        <v>1339</v>
      </c>
      <c r="J244" s="7">
        <f>IF('[1]Personale di appoggio'!J245="X",1,0)</f>
        <v>0</v>
      </c>
      <c r="K244" s="7">
        <f>IF('[1]Personale di appoggio'!K245="X",1,0)</f>
        <v>0</v>
      </c>
      <c r="L244" s="7">
        <f>IF('[1]Personale di appoggio'!L245="X",1,0)</f>
        <v>0</v>
      </c>
      <c r="M244" s="7">
        <f>IF('[1]Personale di appoggio'!M245="X",1,0)</f>
        <v>0</v>
      </c>
      <c r="N244" s="3"/>
      <c r="O244" s="3"/>
      <c r="P244" s="11" t="str">
        <f>IF('[1]Personale di appoggio'!$P245="","",'[1]Personale di appoggio'!$P245)</f>
        <v/>
      </c>
      <c r="Q244" s="4" t="s">
        <v>6</v>
      </c>
      <c r="R244" s="4">
        <f t="shared" si="3"/>
        <v>4</v>
      </c>
    </row>
    <row r="245" spans="1:18" ht="31.5" x14ac:dyDescent="0.45">
      <c r="A245" s="9">
        <v>245</v>
      </c>
      <c r="B245" s="2" t="s">
        <v>1340</v>
      </c>
      <c r="C245" s="3" t="s">
        <v>1341</v>
      </c>
      <c r="D245" s="3" t="s">
        <v>240</v>
      </c>
      <c r="E245" s="4">
        <f>IFERROR(INDEX([1]uot!$A$2:$A$40, MATCH("*"&amp;'[1]Personale di appoggio'!$D246&amp;"*", [1]uot!$B$2:$B$40, 0)), "Valore non trovato")</f>
        <v>18</v>
      </c>
      <c r="F245" s="4">
        <f>IF(TRIM('[1]Personale di appoggio'!$F246)=TRIM([1]qualifiche!$E$2),[1]qualifiche!$D$2,
IF(TRIM('[1]Personale di appoggio'!$F246)=TRIM([1]qualifiche!$E$3),[1]qualifiche!$D$3,
IF(TRIM('[1]Personale di appoggio'!$F246)=TRIM([1]qualifiche!$E$4),[1]qualifiche!$D$4,
IF(TRIM('[1]Personale di appoggio'!$F246)=TRIM([1]qualifiche!$E$5),[1]qualifiche!$D$5,
IF(TRIM('[1]Personale di appoggio'!$F246)=TRIM([1]qualifiche!$E$6),[1]qualifiche!$D$6,
IF(TRIM('[1]Personale di appoggio'!$F246)=TRIM([1]qualifiche!$E$7),[1]qualifiche!$D$7,
IF(TRIM('[1]Personale di appoggio'!$F246)=TRIM([1]qualifiche!$E$8),[1]qualifiche!$D$8,
IF(TRIM('[1]Personale di appoggio'!$F246)=TRIM([1]qualifiche!$E$9),[1]qualifiche!$D$9,
IF(TRIM('[1]Personale di appoggio'!$F246)=TRIM([1]qualifiche!$E$10),[1]qualifiche!$D$10,
IF(TRIM('[1]Personale di appoggio'!$F246)=TRIM([1]qualifiche!$E$11),[1]qualifiche!$D$11,""))))))))))</f>
        <v>8</v>
      </c>
      <c r="G245" s="5" t="s">
        <v>1342</v>
      </c>
      <c r="H245" s="5"/>
      <c r="I245" s="6" t="s">
        <v>1343</v>
      </c>
      <c r="J245" s="7">
        <f>IF('[1]Personale di appoggio'!J246="X",1,0)</f>
        <v>0</v>
      </c>
      <c r="K245" s="7">
        <f>IF('[1]Personale di appoggio'!K246="X",1,0)</f>
        <v>0</v>
      </c>
      <c r="L245" s="7">
        <f>IF('[1]Personale di appoggio'!L246="X",1,0)</f>
        <v>0</v>
      </c>
      <c r="M245" s="7">
        <f>IF('[1]Personale di appoggio'!M246="X",1,0)</f>
        <v>0</v>
      </c>
      <c r="N245" s="3"/>
      <c r="O245" s="3"/>
      <c r="P245" s="11" t="str">
        <f>IF('[1]Personale di appoggio'!$P246="","",'[1]Personale di appoggio'!$P246)</f>
        <v/>
      </c>
      <c r="Q245" s="4" t="s">
        <v>6</v>
      </c>
      <c r="R245" s="4">
        <f t="shared" si="3"/>
        <v>4</v>
      </c>
    </row>
    <row r="246" spans="1:18" ht="31.5" x14ac:dyDescent="0.45">
      <c r="A246" s="9">
        <v>246</v>
      </c>
      <c r="B246" s="2" t="s">
        <v>1344</v>
      </c>
      <c r="C246" s="3" t="s">
        <v>1345</v>
      </c>
      <c r="D246" s="3" t="s">
        <v>187</v>
      </c>
      <c r="E246" s="4">
        <f>IFERROR(INDEX([1]uot!$A$2:$A$40, MATCH("*"&amp;'[1]Personale di appoggio'!$D247&amp;"*", [1]uot!$B$2:$B$40, 0)), "Valore non trovato")</f>
        <v>18</v>
      </c>
      <c r="F246" s="4">
        <f>IF(TRIM('[1]Personale di appoggio'!$F247)=TRIM([1]qualifiche!$E$2),[1]qualifiche!$D$2,
IF(TRIM('[1]Personale di appoggio'!$F247)=TRIM([1]qualifiche!$E$3),[1]qualifiche!$D$3,
IF(TRIM('[1]Personale di appoggio'!$F247)=TRIM([1]qualifiche!$E$4),[1]qualifiche!$D$4,
IF(TRIM('[1]Personale di appoggio'!$F247)=TRIM([1]qualifiche!$E$5),[1]qualifiche!$D$5,
IF(TRIM('[1]Personale di appoggio'!$F247)=TRIM([1]qualifiche!$E$6),[1]qualifiche!$D$6,
IF(TRIM('[1]Personale di appoggio'!$F247)=TRIM([1]qualifiche!$E$7),[1]qualifiche!$D$7,
IF(TRIM('[1]Personale di appoggio'!$F247)=TRIM([1]qualifiche!$E$8),[1]qualifiche!$D$8,
IF(TRIM('[1]Personale di appoggio'!$F247)=TRIM([1]qualifiche!$E$9),[1]qualifiche!$D$9,
IF(TRIM('[1]Personale di appoggio'!$F247)=TRIM([1]qualifiche!$E$10),[1]qualifiche!$D$10,
IF(TRIM('[1]Personale di appoggio'!$F247)=TRIM([1]qualifiche!$E$11),[1]qualifiche!$D$11,""))))))))))</f>
        <v>10</v>
      </c>
      <c r="G246" s="5" t="s">
        <v>1346</v>
      </c>
      <c r="H246" s="5" t="s">
        <v>1347</v>
      </c>
      <c r="I246" s="8" t="s">
        <v>1348</v>
      </c>
      <c r="J246" s="7">
        <f>IF('[1]Personale di appoggio'!J247="X",1,0)</f>
        <v>0</v>
      </c>
      <c r="K246" s="7">
        <f>IF('[1]Personale di appoggio'!K247="X",1,0)</f>
        <v>0</v>
      </c>
      <c r="L246" s="7">
        <f>IF('[1]Personale di appoggio'!L247="X",1,0)</f>
        <v>0</v>
      </c>
      <c r="M246" s="7">
        <f>IF('[1]Personale di appoggio'!M247="X",1,0)</f>
        <v>0</v>
      </c>
      <c r="N246" s="3"/>
      <c r="O246" s="3"/>
      <c r="P246" s="11" t="str">
        <f>IF('[1]Personale di appoggio'!$P247="","",'[1]Personale di appoggio'!$P247)</f>
        <v/>
      </c>
      <c r="Q246" s="4" t="s">
        <v>6</v>
      </c>
      <c r="R246" s="4">
        <f t="shared" si="3"/>
        <v>4</v>
      </c>
    </row>
    <row r="247" spans="1:18" ht="31.5" x14ac:dyDescent="0.45">
      <c r="A247" s="9">
        <v>247</v>
      </c>
      <c r="B247" s="2" t="s">
        <v>1349</v>
      </c>
      <c r="C247" s="3" t="s">
        <v>1350</v>
      </c>
      <c r="D247" s="3" t="s">
        <v>1351</v>
      </c>
      <c r="E247" s="4">
        <f>IFERROR(INDEX([1]uot!$A$2:$A$40, MATCH("*"&amp;'[1]Personale di appoggio'!$D248&amp;"*", [1]uot!$B$2:$B$40, 0)), "Valore non trovato")</f>
        <v>1</v>
      </c>
      <c r="F247" s="4">
        <f>IF(TRIM('[1]Personale di appoggio'!$F248)=TRIM([1]qualifiche!$E$2),[1]qualifiche!$D$2,
IF(TRIM('[1]Personale di appoggio'!$F248)=TRIM([1]qualifiche!$E$3),[1]qualifiche!$D$3,
IF(TRIM('[1]Personale di appoggio'!$F248)=TRIM([1]qualifiche!$E$4),[1]qualifiche!$D$4,
IF(TRIM('[1]Personale di appoggio'!$F248)=TRIM([1]qualifiche!$E$5),[1]qualifiche!$D$5,
IF(TRIM('[1]Personale di appoggio'!$F248)=TRIM([1]qualifiche!$E$6),[1]qualifiche!$D$6,
IF(TRIM('[1]Personale di appoggio'!$F248)=TRIM([1]qualifiche!$E$7),[1]qualifiche!$D$7,
IF(TRIM('[1]Personale di appoggio'!$F248)=TRIM([1]qualifiche!$E$8),[1]qualifiche!$D$8,
IF(TRIM('[1]Personale di appoggio'!$F248)=TRIM([1]qualifiche!$E$9),[1]qualifiche!$D$9,
IF(TRIM('[1]Personale di appoggio'!$F248)=TRIM([1]qualifiche!$E$10),[1]qualifiche!$D$10,
IF(TRIM('[1]Personale di appoggio'!$F248)=TRIM([1]qualifiche!$E$11),[1]qualifiche!$D$11,""))))))))))</f>
        <v>1</v>
      </c>
      <c r="G247" s="5" t="s">
        <v>1352</v>
      </c>
      <c r="H247" s="5" t="s">
        <v>1353</v>
      </c>
      <c r="I247" s="8" t="s">
        <v>1354</v>
      </c>
      <c r="J247" s="7">
        <f>IF('[1]Personale di appoggio'!J248="X",1,0)</f>
        <v>1</v>
      </c>
      <c r="K247" s="7">
        <f>IF('[1]Personale di appoggio'!K248="X",1,0)</f>
        <v>1</v>
      </c>
      <c r="L247" s="7">
        <f>IF('[1]Personale di appoggio'!L248="X",1,0)</f>
        <v>1</v>
      </c>
      <c r="M247" s="7">
        <f>IF('[1]Personale di appoggio'!M248="X",1,0)</f>
        <v>0</v>
      </c>
      <c r="N247" s="3"/>
      <c r="O247" s="3"/>
      <c r="P247" s="11" t="str">
        <f>IF('[1]Personale di appoggio'!$P248="","",'[1]Personale di appoggio'!$P248)</f>
        <v/>
      </c>
      <c r="Q247" s="4" t="s">
        <v>6</v>
      </c>
      <c r="R247" s="4">
        <f t="shared" si="3"/>
        <v>2</v>
      </c>
    </row>
    <row r="248" spans="1:18" ht="409.5" x14ac:dyDescent="0.45">
      <c r="A248" s="9">
        <v>248</v>
      </c>
      <c r="B248" s="2" t="s">
        <v>1355</v>
      </c>
      <c r="C248" s="3" t="s">
        <v>1356</v>
      </c>
      <c r="D248" s="3" t="s">
        <v>278</v>
      </c>
      <c r="E248" s="4">
        <f>IFERROR(INDEX([1]uot!$A$2:$A$40, MATCH("*"&amp;'[1]Personale di appoggio'!$D249&amp;"*", [1]uot!$B$2:$B$40, 0)), "Valore non trovato")</f>
        <v>1</v>
      </c>
      <c r="F248" s="4">
        <f>IF(TRIM('[1]Personale di appoggio'!$F249)=TRIM([1]qualifiche!$E$2),[1]qualifiche!$D$2,
IF(TRIM('[1]Personale di appoggio'!$F249)=TRIM([1]qualifiche!$E$3),[1]qualifiche!$D$3,
IF(TRIM('[1]Personale di appoggio'!$F249)=TRIM([1]qualifiche!$E$4),[1]qualifiche!$D$4,
IF(TRIM('[1]Personale di appoggio'!$F249)=TRIM([1]qualifiche!$E$5),[1]qualifiche!$D$5,
IF(TRIM('[1]Personale di appoggio'!$F249)=TRIM([1]qualifiche!$E$6),[1]qualifiche!$D$6,
IF(TRIM('[1]Personale di appoggio'!$F249)=TRIM([1]qualifiche!$E$7),[1]qualifiche!$D$7,
IF(TRIM('[1]Personale di appoggio'!$F249)=TRIM([1]qualifiche!$E$8),[1]qualifiche!$D$8,
IF(TRIM('[1]Personale di appoggio'!$F249)=TRIM([1]qualifiche!$E$9),[1]qualifiche!$D$9,
IF(TRIM('[1]Personale di appoggio'!$F249)=TRIM([1]qualifiche!$E$10),[1]qualifiche!$D$10,
IF(TRIM('[1]Personale di appoggio'!$F249)=TRIM([1]qualifiche!$E$11),[1]qualifiche!$D$11,""))))))))))</f>
        <v>2</v>
      </c>
      <c r="G248" s="5" t="s">
        <v>1357</v>
      </c>
      <c r="H248" s="5" t="s">
        <v>1358</v>
      </c>
      <c r="I248" s="8" t="s">
        <v>1359</v>
      </c>
      <c r="J248" s="7">
        <f>IF('[1]Personale di appoggio'!J249="X",1,0)</f>
        <v>1</v>
      </c>
      <c r="K248" s="7">
        <f>IF('[1]Personale di appoggio'!K249="X",1,0)</f>
        <v>1</v>
      </c>
      <c r="L248" s="7">
        <f>IF('[1]Personale di appoggio'!L249="X",1,0)</f>
        <v>0</v>
      </c>
      <c r="M248" s="7">
        <f>IF('[1]Personale di appoggio'!M249="X",1,0)</f>
        <v>1</v>
      </c>
      <c r="N248" s="3"/>
      <c r="O248" s="3"/>
      <c r="P248" s="11" t="str">
        <f>IF('[1]Personale di appoggio'!$P249="","",'[1]Personale di appoggio'!$P249)</f>
        <v>Segnalato dal Direttore della UOT Di Campobasso_altra UOT_il 17/05/2024_ su richiesta di Tonti ed email arrivata in Cc anche a La Gioia_ come esperto disponibile alla collaborazione… si presume in presenza… 
Il Direttore della UOT di Pescara_ sul reply al</v>
      </c>
      <c r="Q248" s="4" t="s">
        <v>6</v>
      </c>
      <c r="R248" s="4">
        <f t="shared" si="3"/>
        <v>2</v>
      </c>
    </row>
    <row r="249" spans="1:18" ht="47.25" x14ac:dyDescent="0.45">
      <c r="A249" s="9">
        <v>249</v>
      </c>
      <c r="B249" s="2" t="s">
        <v>1360</v>
      </c>
      <c r="C249" s="3" t="s">
        <v>1361</v>
      </c>
      <c r="D249" s="3" t="s">
        <v>1362</v>
      </c>
      <c r="E249" s="4">
        <f>IFERROR(INDEX([1]uot!$A$2:$A$40, MATCH("*"&amp;'[1]Personale di appoggio'!$D250&amp;"*", [1]uot!$B$2:$B$40, 0)), "Valore non trovato")</f>
        <v>1</v>
      </c>
      <c r="F249" s="4">
        <f>IF(TRIM('[1]Personale di appoggio'!$F250)=TRIM([1]qualifiche!$E$2),[1]qualifiche!$D$2,
IF(TRIM('[1]Personale di appoggio'!$F250)=TRIM([1]qualifiche!$E$3),[1]qualifiche!$D$3,
IF(TRIM('[1]Personale di appoggio'!$F250)=TRIM([1]qualifiche!$E$4),[1]qualifiche!$D$4,
IF(TRIM('[1]Personale di appoggio'!$F250)=TRIM([1]qualifiche!$E$5),[1]qualifiche!$D$5,
IF(TRIM('[1]Personale di appoggio'!$F250)=TRIM([1]qualifiche!$E$6),[1]qualifiche!$D$6,
IF(TRIM('[1]Personale di appoggio'!$F250)=TRIM([1]qualifiche!$E$7),[1]qualifiche!$D$7,
IF(TRIM('[1]Personale di appoggio'!$F250)=TRIM([1]qualifiche!$E$8),[1]qualifiche!$D$8,
IF(TRIM('[1]Personale di appoggio'!$F250)=TRIM([1]qualifiche!$E$9),[1]qualifiche!$D$9,
IF(TRIM('[1]Personale di appoggio'!$F250)=TRIM([1]qualifiche!$E$10),[1]qualifiche!$D$10,
IF(TRIM('[1]Personale di appoggio'!$F250)=TRIM([1]qualifiche!$E$11),[1]qualifiche!$D$11,""))))))))))</f>
        <v>2</v>
      </c>
      <c r="G249" s="5" t="s">
        <v>1363</v>
      </c>
      <c r="H249" s="5" t="s">
        <v>1364</v>
      </c>
      <c r="I249" s="8" t="s">
        <v>1365</v>
      </c>
      <c r="J249" s="7">
        <f>IF('[1]Personale di appoggio'!J250="X",1,0)</f>
        <v>1</v>
      </c>
      <c r="K249" s="7">
        <f>IF('[1]Personale di appoggio'!K250="X",1,0)</f>
        <v>1</v>
      </c>
      <c r="L249" s="7">
        <f>IF('[1]Personale di appoggio'!L250="X",1,0)</f>
        <v>1</v>
      </c>
      <c r="M249" s="7">
        <f>IF('[1]Personale di appoggio'!M250="X",1,0)</f>
        <v>0</v>
      </c>
      <c r="N249" s="3"/>
      <c r="O249" s="3"/>
      <c r="P249" s="11" t="str">
        <f>IF('[1]Personale di appoggio'!$P250="","",'[1]Personale di appoggio'!$P250)</f>
        <v/>
      </c>
      <c r="Q249" s="4" t="s">
        <v>6</v>
      </c>
      <c r="R249" s="4">
        <f t="shared" si="3"/>
        <v>2</v>
      </c>
    </row>
    <row r="250" spans="1:18" ht="252" x14ac:dyDescent="0.45">
      <c r="A250" s="9">
        <v>250</v>
      </c>
      <c r="B250" s="2" t="s">
        <v>1366</v>
      </c>
      <c r="C250" s="3" t="s">
        <v>1367</v>
      </c>
      <c r="D250" s="3" t="s">
        <v>1368</v>
      </c>
      <c r="E250" s="4">
        <f>IFERROR(INDEX([1]uot!$A$2:$A$40, MATCH("*"&amp;'[1]Personale di appoggio'!$D251&amp;"*", [1]uot!$B$2:$B$40, 0)), "Valore non trovato")</f>
        <v>1</v>
      </c>
      <c r="F250" s="4">
        <f>IF(TRIM('[1]Personale di appoggio'!$F251)=TRIM([1]qualifiche!$E$2),[1]qualifiche!$D$2,
IF(TRIM('[1]Personale di appoggio'!$F251)=TRIM([1]qualifiche!$E$3),[1]qualifiche!$D$3,
IF(TRIM('[1]Personale di appoggio'!$F251)=TRIM([1]qualifiche!$E$4),[1]qualifiche!$D$4,
IF(TRIM('[1]Personale di appoggio'!$F251)=TRIM([1]qualifiche!$E$5),[1]qualifiche!$D$5,
IF(TRIM('[1]Personale di appoggio'!$F251)=TRIM([1]qualifiche!$E$6),[1]qualifiche!$D$6,
IF(TRIM('[1]Personale di appoggio'!$F251)=TRIM([1]qualifiche!$E$7),[1]qualifiche!$D$7,
IF(TRIM('[1]Personale di appoggio'!$F251)=TRIM([1]qualifiche!$E$8),[1]qualifiche!$D$8,
IF(TRIM('[1]Personale di appoggio'!$F251)=TRIM([1]qualifiche!$E$9),[1]qualifiche!$D$9,
IF(TRIM('[1]Personale di appoggio'!$F251)=TRIM([1]qualifiche!$E$10),[1]qualifiche!$D$10,
IF(TRIM('[1]Personale di appoggio'!$F251)=TRIM([1]qualifiche!$E$11),[1]qualifiche!$D$11,""))))))))))</f>
        <v>4</v>
      </c>
      <c r="G250" s="5" t="s">
        <v>1369</v>
      </c>
      <c r="H250" s="5" t="s">
        <v>1370</v>
      </c>
      <c r="I250" s="8" t="s">
        <v>1371</v>
      </c>
      <c r="J250" s="7">
        <f>IF('[1]Personale di appoggio'!J251="X",1,0)</f>
        <v>1</v>
      </c>
      <c r="K250" s="7">
        <f>IF('[1]Personale di appoggio'!K251="X",1,0)</f>
        <v>1</v>
      </c>
      <c r="L250" s="7">
        <f>IF('[1]Personale di appoggio'!L251="X",1,0)</f>
        <v>0</v>
      </c>
      <c r="M250" s="7">
        <f>IF('[1]Personale di appoggio'!M251="X",1,0)</f>
        <v>0</v>
      </c>
      <c r="N250" s="3"/>
      <c r="O250" s="3"/>
      <c r="P250" s="11" t="str">
        <f>IF('[1]Personale di appoggio'!$P251="","",'[1]Personale di appoggio'!$P251)</f>
        <v>PRESSIONE: solo attrezzature trasportabili. 
Ha conoscenze in materia di terre e protezione dalle scariche atmosferiche</v>
      </c>
      <c r="Q250" s="4" t="s">
        <v>6</v>
      </c>
      <c r="R250" s="4">
        <f t="shared" si="3"/>
        <v>2</v>
      </c>
    </row>
    <row r="251" spans="1:18" ht="47.25" x14ac:dyDescent="0.45">
      <c r="A251" s="9">
        <v>251</v>
      </c>
      <c r="B251" s="2" t="s">
        <v>1372</v>
      </c>
      <c r="C251" s="3" t="s">
        <v>1373</v>
      </c>
      <c r="D251" s="3" t="s">
        <v>1374</v>
      </c>
      <c r="E251" s="4">
        <f>IFERROR(INDEX([1]uot!$A$2:$A$40, MATCH("*"&amp;'[1]Personale di appoggio'!$D252&amp;"*", [1]uot!$B$2:$B$40, 0)), "Valore non trovato")</f>
        <v>1</v>
      </c>
      <c r="F251" s="4">
        <f>IF(TRIM('[1]Personale di appoggio'!$F252)=TRIM([1]qualifiche!$E$2),[1]qualifiche!$D$2,
IF(TRIM('[1]Personale di appoggio'!$F252)=TRIM([1]qualifiche!$E$3),[1]qualifiche!$D$3,
IF(TRIM('[1]Personale di appoggio'!$F252)=TRIM([1]qualifiche!$E$4),[1]qualifiche!$D$4,
IF(TRIM('[1]Personale di appoggio'!$F252)=TRIM([1]qualifiche!$E$5),[1]qualifiche!$D$5,
IF(TRIM('[1]Personale di appoggio'!$F252)=TRIM([1]qualifiche!$E$6),[1]qualifiche!$D$6,
IF(TRIM('[1]Personale di appoggio'!$F252)=TRIM([1]qualifiche!$E$7),[1]qualifiche!$D$7,
IF(TRIM('[1]Personale di appoggio'!$F252)=TRIM([1]qualifiche!$E$8),[1]qualifiche!$D$8,
IF(TRIM('[1]Personale di appoggio'!$F252)=TRIM([1]qualifiche!$E$9),[1]qualifiche!$D$9,
IF(TRIM('[1]Personale di appoggio'!$F252)=TRIM([1]qualifiche!$E$10),[1]qualifiche!$D$10,
IF(TRIM('[1]Personale di appoggio'!$F252)=TRIM([1]qualifiche!$E$11),[1]qualifiche!$D$11,""))))))))))</f>
        <v>6</v>
      </c>
      <c r="G251" s="5" t="s">
        <v>1375</v>
      </c>
      <c r="H251" s="5" t="s">
        <v>1376</v>
      </c>
      <c r="I251" s="8" t="s">
        <v>1377</v>
      </c>
      <c r="J251" s="7">
        <f>IF('[1]Personale di appoggio'!J252="X",1,0)</f>
        <v>0</v>
      </c>
      <c r="K251" s="7">
        <f>IF('[1]Personale di appoggio'!K252="X",1,0)</f>
        <v>0</v>
      </c>
      <c r="L251" s="7">
        <f>IF('[1]Personale di appoggio'!L252="X",1,0)</f>
        <v>0</v>
      </c>
      <c r="M251" s="7">
        <f>IF('[1]Personale di appoggio'!M252="X",1,0)</f>
        <v>0</v>
      </c>
      <c r="N251" s="3"/>
      <c r="O251" s="3"/>
      <c r="P251" s="11" t="str">
        <f>IF('[1]Personale di appoggio'!$P252="","",'[1]Personale di appoggio'!$P252)</f>
        <v/>
      </c>
      <c r="Q251" s="4" t="s">
        <v>6</v>
      </c>
      <c r="R251" s="4">
        <f t="shared" si="3"/>
        <v>4</v>
      </c>
    </row>
    <row r="252" spans="1:18" ht="31.5" x14ac:dyDescent="0.45">
      <c r="A252" s="9">
        <v>252</v>
      </c>
      <c r="B252" s="2" t="s">
        <v>1378</v>
      </c>
      <c r="C252" s="3" t="s">
        <v>1379</v>
      </c>
      <c r="D252" s="3" t="s">
        <v>1380</v>
      </c>
      <c r="E252" s="4">
        <f>IFERROR(INDEX([1]uot!$A$2:$A$40, MATCH("*"&amp;'[1]Personale di appoggio'!$D253&amp;"*", [1]uot!$B$2:$B$40, 0)), "Valore non trovato")</f>
        <v>1</v>
      </c>
      <c r="F252" s="4">
        <f>IF(TRIM('[1]Personale di appoggio'!$F253)=TRIM([1]qualifiche!$E$2),[1]qualifiche!$D$2,
IF(TRIM('[1]Personale di appoggio'!$F253)=TRIM([1]qualifiche!$E$3),[1]qualifiche!$D$3,
IF(TRIM('[1]Personale di appoggio'!$F253)=TRIM([1]qualifiche!$E$4),[1]qualifiche!$D$4,
IF(TRIM('[1]Personale di appoggio'!$F253)=TRIM([1]qualifiche!$E$5),[1]qualifiche!$D$5,
IF(TRIM('[1]Personale di appoggio'!$F253)=TRIM([1]qualifiche!$E$6),[1]qualifiche!$D$6,
IF(TRIM('[1]Personale di appoggio'!$F253)=TRIM([1]qualifiche!$E$7),[1]qualifiche!$D$7,
IF(TRIM('[1]Personale di appoggio'!$F253)=TRIM([1]qualifiche!$E$8),[1]qualifiche!$D$8,
IF(TRIM('[1]Personale di appoggio'!$F253)=TRIM([1]qualifiche!$E$9),[1]qualifiche!$D$9,
IF(TRIM('[1]Personale di appoggio'!$F253)=TRIM([1]qualifiche!$E$10),[1]qualifiche!$D$10,
IF(TRIM('[1]Personale di appoggio'!$F253)=TRIM([1]qualifiche!$E$11),[1]qualifiche!$D$11,""))))))))))</f>
        <v>6</v>
      </c>
      <c r="G252" s="5" t="s">
        <v>1381</v>
      </c>
      <c r="H252" s="5" t="s">
        <v>1382</v>
      </c>
      <c r="I252" s="8" t="s">
        <v>1383</v>
      </c>
      <c r="J252" s="7">
        <f>IF('[1]Personale di appoggio'!J253="X",1,0)</f>
        <v>0</v>
      </c>
      <c r="K252" s="7">
        <f>IF('[1]Personale di appoggio'!K253="X",1,0)</f>
        <v>0</v>
      </c>
      <c r="L252" s="7">
        <f>IF('[1]Personale di appoggio'!L253="X",1,0)</f>
        <v>0</v>
      </c>
      <c r="M252" s="7">
        <f>IF('[1]Personale di appoggio'!M253="X",1,0)</f>
        <v>0</v>
      </c>
      <c r="N252" s="3"/>
      <c r="O252" s="3"/>
      <c r="P252" s="11" t="str">
        <f>IF('[1]Personale di appoggio'!$P253="","",'[1]Personale di appoggio'!$P253)</f>
        <v/>
      </c>
      <c r="Q252" s="4" t="s">
        <v>6</v>
      </c>
      <c r="R252" s="4">
        <f t="shared" si="3"/>
        <v>4</v>
      </c>
    </row>
    <row r="253" spans="1:18" ht="47.25" x14ac:dyDescent="0.45">
      <c r="A253" s="9">
        <v>253</v>
      </c>
      <c r="B253" s="2" t="s">
        <v>1384</v>
      </c>
      <c r="C253" s="3" t="s">
        <v>1385</v>
      </c>
      <c r="D253" s="3" t="s">
        <v>1386</v>
      </c>
      <c r="E253" s="4">
        <f>IFERROR(INDEX([1]uot!$A$2:$A$40, MATCH("*"&amp;'[1]Personale di appoggio'!$D254&amp;"*", [1]uot!$B$2:$B$40, 0)), "Valore non trovato")</f>
        <v>1</v>
      </c>
      <c r="F253" s="4">
        <f>IF(TRIM('[1]Personale di appoggio'!$F254)=TRIM([1]qualifiche!$E$2),[1]qualifiche!$D$2,
IF(TRIM('[1]Personale di appoggio'!$F254)=TRIM([1]qualifiche!$E$3),[1]qualifiche!$D$3,
IF(TRIM('[1]Personale di appoggio'!$F254)=TRIM([1]qualifiche!$E$4),[1]qualifiche!$D$4,
IF(TRIM('[1]Personale di appoggio'!$F254)=TRIM([1]qualifiche!$E$5),[1]qualifiche!$D$5,
IF(TRIM('[1]Personale di appoggio'!$F254)=TRIM([1]qualifiche!$E$6),[1]qualifiche!$D$6,
IF(TRIM('[1]Personale di appoggio'!$F254)=TRIM([1]qualifiche!$E$7),[1]qualifiche!$D$7,
IF(TRIM('[1]Personale di appoggio'!$F254)=TRIM([1]qualifiche!$E$8),[1]qualifiche!$D$8,
IF(TRIM('[1]Personale di appoggio'!$F254)=TRIM([1]qualifiche!$E$9),[1]qualifiche!$D$9,
IF(TRIM('[1]Personale di appoggio'!$F254)=TRIM([1]qualifiche!$E$10),[1]qualifiche!$D$10,
IF(TRIM('[1]Personale di appoggio'!$F254)=TRIM([1]qualifiche!$E$11),[1]qualifiche!$D$11,""))))))))))</f>
        <v>6</v>
      </c>
      <c r="G253" s="5" t="s">
        <v>1387</v>
      </c>
      <c r="H253" s="5" t="s">
        <v>1388</v>
      </c>
      <c r="I253" s="8" t="s">
        <v>1389</v>
      </c>
      <c r="J253" s="7">
        <f>IF('[1]Personale di appoggio'!J254="X",1,0)</f>
        <v>0</v>
      </c>
      <c r="K253" s="7">
        <f>IF('[1]Personale di appoggio'!K254="X",1,0)</f>
        <v>0</v>
      </c>
      <c r="L253" s="7">
        <f>IF('[1]Personale di appoggio'!L254="X",1,0)</f>
        <v>0</v>
      </c>
      <c r="M253" s="7">
        <f>IF('[1]Personale di appoggio'!M254="X",1,0)</f>
        <v>0</v>
      </c>
      <c r="N253" s="3"/>
      <c r="O253" s="3"/>
      <c r="P253" s="11" t="str">
        <f>IF('[1]Personale di appoggio'!$P254="","",'[1]Personale di appoggio'!$P254)</f>
        <v/>
      </c>
      <c r="Q253" s="4" t="s">
        <v>6</v>
      </c>
      <c r="R253" s="4">
        <f t="shared" si="3"/>
        <v>4</v>
      </c>
    </row>
    <row r="254" spans="1:18" ht="47.25" x14ac:dyDescent="0.45">
      <c r="A254" s="9">
        <v>254</v>
      </c>
      <c r="B254" s="2" t="s">
        <v>1390</v>
      </c>
      <c r="C254" s="3" t="s">
        <v>1385</v>
      </c>
      <c r="D254" s="3" t="s">
        <v>1391</v>
      </c>
      <c r="E254" s="4">
        <f>IFERROR(INDEX([1]uot!$A$2:$A$40, MATCH("*"&amp;'[1]Personale di appoggio'!$D255&amp;"*", [1]uot!$B$2:$B$40, 0)), "Valore non trovato")</f>
        <v>1</v>
      </c>
      <c r="F254" s="4">
        <f>IF(TRIM('[1]Personale di appoggio'!$F255)=TRIM([1]qualifiche!$E$2),[1]qualifiche!$D$2,
IF(TRIM('[1]Personale di appoggio'!$F255)=TRIM([1]qualifiche!$E$3),[1]qualifiche!$D$3,
IF(TRIM('[1]Personale di appoggio'!$F255)=TRIM([1]qualifiche!$E$4),[1]qualifiche!$D$4,
IF(TRIM('[1]Personale di appoggio'!$F255)=TRIM([1]qualifiche!$E$5),[1]qualifiche!$D$5,
IF(TRIM('[1]Personale di appoggio'!$F255)=TRIM([1]qualifiche!$E$6),[1]qualifiche!$D$6,
IF(TRIM('[1]Personale di appoggio'!$F255)=TRIM([1]qualifiche!$E$7),[1]qualifiche!$D$7,
IF(TRIM('[1]Personale di appoggio'!$F255)=TRIM([1]qualifiche!$E$8),[1]qualifiche!$D$8,
IF(TRIM('[1]Personale di appoggio'!$F255)=TRIM([1]qualifiche!$E$9),[1]qualifiche!$D$9,
IF(TRIM('[1]Personale di appoggio'!$F255)=TRIM([1]qualifiche!$E$10),[1]qualifiche!$D$10,
IF(TRIM('[1]Personale di appoggio'!$F255)=TRIM([1]qualifiche!$E$11),[1]qualifiche!$D$11,""))))))))))</f>
        <v>7</v>
      </c>
      <c r="G254" s="5" t="s">
        <v>1392</v>
      </c>
      <c r="H254" s="5" t="s">
        <v>1393</v>
      </c>
      <c r="I254" s="8" t="s">
        <v>1394</v>
      </c>
      <c r="J254" s="7">
        <f>IF('[1]Personale di appoggio'!J255="X",1,0)</f>
        <v>0</v>
      </c>
      <c r="K254" s="7">
        <f>IF('[1]Personale di appoggio'!K255="X",1,0)</f>
        <v>0</v>
      </c>
      <c r="L254" s="7">
        <f>IF('[1]Personale di appoggio'!L255="X",1,0)</f>
        <v>0</v>
      </c>
      <c r="M254" s="7">
        <f>IF('[1]Personale di appoggio'!M255="X",1,0)</f>
        <v>0</v>
      </c>
      <c r="N254" s="3"/>
      <c r="O254" s="3"/>
      <c r="P254" s="11" t="str">
        <f>IF('[1]Personale di appoggio'!$P255="","",'[1]Personale di appoggio'!$P255)</f>
        <v/>
      </c>
      <c r="Q254" s="4" t="s">
        <v>6</v>
      </c>
      <c r="R254" s="4">
        <f t="shared" si="3"/>
        <v>4</v>
      </c>
    </row>
    <row r="255" spans="1:18" ht="31.5" x14ac:dyDescent="0.45">
      <c r="A255" s="9">
        <v>255</v>
      </c>
      <c r="B255" s="2" t="s">
        <v>1395</v>
      </c>
      <c r="C255" s="3" t="s">
        <v>1396</v>
      </c>
      <c r="D255" s="3" t="s">
        <v>1397</v>
      </c>
      <c r="E255" s="4">
        <f>IFERROR(INDEX([1]uot!$A$2:$A$40, MATCH("*"&amp;'[1]Personale di appoggio'!$D256&amp;"*", [1]uot!$B$2:$B$40, 0)), "Valore non trovato")</f>
        <v>1</v>
      </c>
      <c r="F255" s="4">
        <f>IF(TRIM('[1]Personale di appoggio'!$F256)=TRIM([1]qualifiche!$E$2),[1]qualifiche!$D$2,
IF(TRIM('[1]Personale di appoggio'!$F256)=TRIM([1]qualifiche!$E$3),[1]qualifiche!$D$3,
IF(TRIM('[1]Personale di appoggio'!$F256)=TRIM([1]qualifiche!$E$4),[1]qualifiche!$D$4,
IF(TRIM('[1]Personale di appoggio'!$F256)=TRIM([1]qualifiche!$E$5),[1]qualifiche!$D$5,
IF(TRIM('[1]Personale di appoggio'!$F256)=TRIM([1]qualifiche!$E$6),[1]qualifiche!$D$6,
IF(TRIM('[1]Personale di appoggio'!$F256)=TRIM([1]qualifiche!$E$7),[1]qualifiche!$D$7,
IF(TRIM('[1]Personale di appoggio'!$F256)=TRIM([1]qualifiche!$E$8),[1]qualifiche!$D$8,
IF(TRIM('[1]Personale di appoggio'!$F256)=TRIM([1]qualifiche!$E$9),[1]qualifiche!$D$9,
IF(TRIM('[1]Personale di appoggio'!$F256)=TRIM([1]qualifiche!$E$10),[1]qualifiche!$D$10,
IF(TRIM('[1]Personale di appoggio'!$F256)=TRIM([1]qualifiche!$E$11),[1]qualifiche!$D$11,""))))))))))</f>
        <v>7</v>
      </c>
      <c r="G255" s="5" t="s">
        <v>1398</v>
      </c>
      <c r="H255" s="5" t="s">
        <v>1399</v>
      </c>
      <c r="I255" s="8" t="s">
        <v>1400</v>
      </c>
      <c r="J255" s="7">
        <f>IF('[1]Personale di appoggio'!J256="X",1,0)</f>
        <v>0</v>
      </c>
      <c r="K255" s="7">
        <f>IF('[1]Personale di appoggio'!K256="X",1,0)</f>
        <v>0</v>
      </c>
      <c r="L255" s="7">
        <f>IF('[1]Personale di appoggio'!L256="X",1,0)</f>
        <v>0</v>
      </c>
      <c r="M255" s="7">
        <f>IF('[1]Personale di appoggio'!M256="X",1,0)</f>
        <v>0</v>
      </c>
      <c r="N255" s="3"/>
      <c r="O255" s="3"/>
      <c r="P255" s="11" t="str">
        <f>IF('[1]Personale di appoggio'!$P256="","",'[1]Personale di appoggio'!$P256)</f>
        <v/>
      </c>
      <c r="Q255" s="4" t="s">
        <v>6</v>
      </c>
      <c r="R255" s="4">
        <f t="shared" si="3"/>
        <v>4</v>
      </c>
    </row>
    <row r="256" spans="1:18" ht="31.5" x14ac:dyDescent="0.45">
      <c r="A256" s="9">
        <v>256</v>
      </c>
      <c r="B256" s="2" t="s">
        <v>1401</v>
      </c>
      <c r="C256" s="3" t="s">
        <v>1402</v>
      </c>
      <c r="D256" s="3" t="s">
        <v>1403</v>
      </c>
      <c r="E256" s="4">
        <f>IFERROR(INDEX([1]uot!$A$2:$A$40, MATCH("*"&amp;'[1]Personale di appoggio'!$D257&amp;"*", [1]uot!$B$2:$B$40, 0)), "Valore non trovato")</f>
        <v>1</v>
      </c>
      <c r="F256" s="4">
        <f>IF(TRIM('[1]Personale di appoggio'!$F257)=TRIM([1]qualifiche!$E$2),[1]qualifiche!$D$2,
IF(TRIM('[1]Personale di appoggio'!$F257)=TRIM([1]qualifiche!$E$3),[1]qualifiche!$D$3,
IF(TRIM('[1]Personale di appoggio'!$F257)=TRIM([1]qualifiche!$E$4),[1]qualifiche!$D$4,
IF(TRIM('[1]Personale di appoggio'!$F257)=TRIM([1]qualifiche!$E$5),[1]qualifiche!$D$5,
IF(TRIM('[1]Personale di appoggio'!$F257)=TRIM([1]qualifiche!$E$6),[1]qualifiche!$D$6,
IF(TRIM('[1]Personale di appoggio'!$F257)=TRIM([1]qualifiche!$E$7),[1]qualifiche!$D$7,
IF(TRIM('[1]Personale di appoggio'!$F257)=TRIM([1]qualifiche!$E$8),[1]qualifiche!$D$8,
IF(TRIM('[1]Personale di appoggio'!$F257)=TRIM([1]qualifiche!$E$9),[1]qualifiche!$D$9,
IF(TRIM('[1]Personale di appoggio'!$F257)=TRIM([1]qualifiche!$E$10),[1]qualifiche!$D$10,
IF(TRIM('[1]Personale di appoggio'!$F257)=TRIM([1]qualifiche!$E$11),[1]qualifiche!$D$11,""))))))))))</f>
        <v>7</v>
      </c>
      <c r="G256" s="5" t="s">
        <v>1404</v>
      </c>
      <c r="H256" s="5" t="s">
        <v>1405</v>
      </c>
      <c r="I256" s="8" t="s">
        <v>1406</v>
      </c>
      <c r="J256" s="7">
        <f>IF('[1]Personale di appoggio'!J257="X",1,0)</f>
        <v>0</v>
      </c>
      <c r="K256" s="7">
        <f>IF('[1]Personale di appoggio'!K257="X",1,0)</f>
        <v>0</v>
      </c>
      <c r="L256" s="7">
        <f>IF('[1]Personale di appoggio'!L257="X",1,0)</f>
        <v>0</v>
      </c>
      <c r="M256" s="7">
        <f>IF('[1]Personale di appoggio'!M257="X",1,0)</f>
        <v>0</v>
      </c>
      <c r="N256" s="3"/>
      <c r="O256" s="3"/>
      <c r="P256" s="11" t="str">
        <f>IF('[1]Personale di appoggio'!$P257="","",'[1]Personale di appoggio'!$P257)</f>
        <v/>
      </c>
      <c r="Q256" s="4" t="s">
        <v>6</v>
      </c>
      <c r="R256" s="4">
        <f t="shared" si="3"/>
        <v>4</v>
      </c>
    </row>
    <row r="257" spans="1:18" ht="31.5" x14ac:dyDescent="0.45">
      <c r="A257" s="9">
        <v>257</v>
      </c>
      <c r="B257" s="2" t="s">
        <v>1407</v>
      </c>
      <c r="C257" s="3" t="s">
        <v>1408</v>
      </c>
      <c r="D257" s="3" t="s">
        <v>1409</v>
      </c>
      <c r="E257" s="4">
        <f>IFERROR(INDEX([1]uot!$A$2:$A$40, MATCH("*"&amp;'[1]Personale di appoggio'!$D258&amp;"*", [1]uot!$B$2:$B$40, 0)), "Valore non trovato")</f>
        <v>1</v>
      </c>
      <c r="F257" s="4">
        <f>IF(TRIM('[1]Personale di appoggio'!$F258)=TRIM([1]qualifiche!$E$2),[1]qualifiche!$D$2,
IF(TRIM('[1]Personale di appoggio'!$F258)=TRIM([1]qualifiche!$E$3),[1]qualifiche!$D$3,
IF(TRIM('[1]Personale di appoggio'!$F258)=TRIM([1]qualifiche!$E$4),[1]qualifiche!$D$4,
IF(TRIM('[1]Personale di appoggio'!$F258)=TRIM([1]qualifiche!$E$5),[1]qualifiche!$D$5,
IF(TRIM('[1]Personale di appoggio'!$F258)=TRIM([1]qualifiche!$E$6),[1]qualifiche!$D$6,
IF(TRIM('[1]Personale di appoggio'!$F258)=TRIM([1]qualifiche!$E$7),[1]qualifiche!$D$7,
IF(TRIM('[1]Personale di appoggio'!$F258)=TRIM([1]qualifiche!$E$8),[1]qualifiche!$D$8,
IF(TRIM('[1]Personale di appoggio'!$F258)=TRIM([1]qualifiche!$E$9),[1]qualifiche!$D$9,
IF(TRIM('[1]Personale di appoggio'!$F258)=TRIM([1]qualifiche!$E$10),[1]qualifiche!$D$10,
IF(TRIM('[1]Personale di appoggio'!$F258)=TRIM([1]qualifiche!$E$11),[1]qualifiche!$D$11,""))))))))))</f>
        <v>7</v>
      </c>
      <c r="G257" s="5" t="s">
        <v>1410</v>
      </c>
      <c r="H257" s="5" t="s">
        <v>1411</v>
      </c>
      <c r="I257" s="8" t="s">
        <v>1412</v>
      </c>
      <c r="J257" s="7">
        <f>IF('[1]Personale di appoggio'!J258="X",1,0)</f>
        <v>0</v>
      </c>
      <c r="K257" s="7">
        <f>IF('[1]Personale di appoggio'!K258="X",1,0)</f>
        <v>0</v>
      </c>
      <c r="L257" s="7">
        <f>IF('[1]Personale di appoggio'!L258="X",1,0)</f>
        <v>0</v>
      </c>
      <c r="M257" s="7">
        <f>IF('[1]Personale di appoggio'!M258="X",1,0)</f>
        <v>0</v>
      </c>
      <c r="N257" s="3"/>
      <c r="O257" s="3"/>
      <c r="P257" s="11" t="str">
        <f>IF('[1]Personale di appoggio'!$P258="","",'[1]Personale di appoggio'!$P258)</f>
        <v/>
      </c>
      <c r="Q257" s="4" t="s">
        <v>6</v>
      </c>
      <c r="R257" s="4">
        <f t="shared" si="3"/>
        <v>4</v>
      </c>
    </row>
    <row r="258" spans="1:18" ht="31.5" x14ac:dyDescent="0.45">
      <c r="A258" s="9">
        <v>258</v>
      </c>
      <c r="B258" s="2" t="s">
        <v>1413</v>
      </c>
      <c r="C258" s="3" t="s">
        <v>1414</v>
      </c>
      <c r="D258" s="3" t="s">
        <v>1415</v>
      </c>
      <c r="E258" s="4">
        <f>IFERROR(INDEX([1]uot!$A$2:$A$40, MATCH("*"&amp;'[1]Personale di appoggio'!$D259&amp;"*", [1]uot!$B$2:$B$40, 0)), "Valore non trovato")</f>
        <v>1</v>
      </c>
      <c r="F258" s="4">
        <f>IF(TRIM('[1]Personale di appoggio'!$F259)=TRIM([1]qualifiche!$E$2),[1]qualifiche!$D$2,
IF(TRIM('[1]Personale di appoggio'!$F259)=TRIM([1]qualifiche!$E$3),[1]qualifiche!$D$3,
IF(TRIM('[1]Personale di appoggio'!$F259)=TRIM([1]qualifiche!$E$4),[1]qualifiche!$D$4,
IF(TRIM('[1]Personale di appoggio'!$F259)=TRIM([1]qualifiche!$E$5),[1]qualifiche!$D$5,
IF(TRIM('[1]Personale di appoggio'!$F259)=TRIM([1]qualifiche!$E$6),[1]qualifiche!$D$6,
IF(TRIM('[1]Personale di appoggio'!$F259)=TRIM([1]qualifiche!$E$7),[1]qualifiche!$D$7,
IF(TRIM('[1]Personale di appoggio'!$F259)=TRIM([1]qualifiche!$E$8),[1]qualifiche!$D$8,
IF(TRIM('[1]Personale di appoggio'!$F259)=TRIM([1]qualifiche!$E$9),[1]qualifiche!$D$9,
IF(TRIM('[1]Personale di appoggio'!$F259)=TRIM([1]qualifiche!$E$10),[1]qualifiche!$D$10,
IF(TRIM('[1]Personale di appoggio'!$F259)=TRIM([1]qualifiche!$E$11),[1]qualifiche!$D$11,""))))))))))</f>
        <v>7</v>
      </c>
      <c r="G258" s="5" t="s">
        <v>1416</v>
      </c>
      <c r="H258" s="5" t="s">
        <v>1417</v>
      </c>
      <c r="I258" s="8" t="s">
        <v>1418</v>
      </c>
      <c r="J258" s="7">
        <f>IF('[1]Personale di appoggio'!J259="X",1,0)</f>
        <v>0</v>
      </c>
      <c r="K258" s="7">
        <f>IF('[1]Personale di appoggio'!K259="X",1,0)</f>
        <v>0</v>
      </c>
      <c r="L258" s="7">
        <f>IF('[1]Personale di appoggio'!L259="X",1,0)</f>
        <v>0</v>
      </c>
      <c r="M258" s="7">
        <f>IF('[1]Personale di appoggio'!M259="X",1,0)</f>
        <v>0</v>
      </c>
      <c r="N258" s="3"/>
      <c r="O258" s="3"/>
      <c r="P258" s="11" t="str">
        <f>IF('[1]Personale di appoggio'!$P259="","",'[1]Personale di appoggio'!$P259)</f>
        <v/>
      </c>
      <c r="Q258" s="4" t="s">
        <v>6</v>
      </c>
      <c r="R258" s="4">
        <f t="shared" ref="R258:R321" si="4">IF(COUNTIF($J258:$M258,"1")= 4, 1, IF(COUNTIF($J258:$M258,"1")&gt;0,2,4))</f>
        <v>4</v>
      </c>
    </row>
    <row r="259" spans="1:18" ht="42.75" x14ac:dyDescent="0.45">
      <c r="A259" s="9">
        <v>259</v>
      </c>
      <c r="B259" s="2" t="s">
        <v>1419</v>
      </c>
      <c r="C259" s="3" t="s">
        <v>1420</v>
      </c>
      <c r="D259" s="3" t="s">
        <v>1421</v>
      </c>
      <c r="E259" s="4">
        <f>IFERROR(INDEX([1]uot!$A$2:$A$40, MATCH("*"&amp;'[1]Personale di appoggio'!$D260&amp;"*", [1]uot!$B$2:$B$40, 0)), "Valore non trovato")</f>
        <v>1</v>
      </c>
      <c r="F259" s="4">
        <f>IF(TRIM('[1]Personale di appoggio'!$F260)=TRIM([1]qualifiche!$E$2),[1]qualifiche!$D$2,
IF(TRIM('[1]Personale di appoggio'!$F260)=TRIM([1]qualifiche!$E$3),[1]qualifiche!$D$3,
IF(TRIM('[1]Personale di appoggio'!$F260)=TRIM([1]qualifiche!$E$4),[1]qualifiche!$D$4,
IF(TRIM('[1]Personale di appoggio'!$F260)=TRIM([1]qualifiche!$E$5),[1]qualifiche!$D$5,
IF(TRIM('[1]Personale di appoggio'!$F260)=TRIM([1]qualifiche!$E$6),[1]qualifiche!$D$6,
IF(TRIM('[1]Personale di appoggio'!$F260)=TRIM([1]qualifiche!$E$7),[1]qualifiche!$D$7,
IF(TRIM('[1]Personale di appoggio'!$F260)=TRIM([1]qualifiche!$E$8),[1]qualifiche!$D$8,
IF(TRIM('[1]Personale di appoggio'!$F260)=TRIM([1]qualifiche!$E$9),[1]qualifiche!$D$9,
IF(TRIM('[1]Personale di appoggio'!$F260)=TRIM([1]qualifiche!$E$10),[1]qualifiche!$D$10,
IF(TRIM('[1]Personale di appoggio'!$F260)=TRIM([1]qualifiche!$E$11),[1]qualifiche!$D$11,""))))))))))</f>
        <v>7</v>
      </c>
      <c r="G259" s="5" t="s">
        <v>1422</v>
      </c>
      <c r="H259" s="5" t="s">
        <v>1423</v>
      </c>
      <c r="I259" s="6" t="s">
        <v>1424</v>
      </c>
      <c r="J259" s="7">
        <f>IF('[1]Personale di appoggio'!J260="X",1,0)</f>
        <v>0</v>
      </c>
      <c r="K259" s="7">
        <f>IF('[1]Personale di appoggio'!K260="X",1,0)</f>
        <v>0</v>
      </c>
      <c r="L259" s="7">
        <f>IF('[1]Personale di appoggio'!L260="X",1,0)</f>
        <v>0</v>
      </c>
      <c r="M259" s="7">
        <f>IF('[1]Personale di appoggio'!M260="X",1,0)</f>
        <v>0</v>
      </c>
      <c r="N259" s="3"/>
      <c r="O259" s="3"/>
      <c r="P259" s="11" t="str">
        <f>IF('[1]Personale di appoggio'!$P260="","",'[1]Personale di appoggio'!$P260)</f>
        <v/>
      </c>
      <c r="Q259" s="4" t="s">
        <v>6</v>
      </c>
      <c r="R259" s="4">
        <f t="shared" si="4"/>
        <v>4</v>
      </c>
    </row>
    <row r="260" spans="1:18" ht="31.5" x14ac:dyDescent="0.45">
      <c r="A260" s="9">
        <v>260</v>
      </c>
      <c r="B260" s="2" t="s">
        <v>1425</v>
      </c>
      <c r="C260" s="3" t="s">
        <v>1426</v>
      </c>
      <c r="D260" s="3" t="s">
        <v>978</v>
      </c>
      <c r="E260" s="4">
        <f>IFERROR(INDEX([1]uot!$A$2:$A$40, MATCH("*"&amp;'[1]Personale di appoggio'!$D261&amp;"*", [1]uot!$B$2:$B$40, 0)), "Valore non trovato")</f>
        <v>8</v>
      </c>
      <c r="F260" s="4">
        <f>IF(TRIM('[1]Personale di appoggio'!$F261)=TRIM([1]qualifiche!$E$2),[1]qualifiche!$D$2,
IF(TRIM('[1]Personale di appoggio'!$F261)=TRIM([1]qualifiche!$E$3),[1]qualifiche!$D$3,
IF(TRIM('[1]Personale di appoggio'!$F261)=TRIM([1]qualifiche!$E$4),[1]qualifiche!$D$4,
IF(TRIM('[1]Personale di appoggio'!$F261)=TRIM([1]qualifiche!$E$5),[1]qualifiche!$D$5,
IF(TRIM('[1]Personale di appoggio'!$F261)=TRIM([1]qualifiche!$E$6),[1]qualifiche!$D$6,
IF(TRIM('[1]Personale di appoggio'!$F261)=TRIM([1]qualifiche!$E$7),[1]qualifiche!$D$7,
IF(TRIM('[1]Personale di appoggio'!$F261)=TRIM([1]qualifiche!$E$8),[1]qualifiche!$D$8,
IF(TRIM('[1]Personale di appoggio'!$F261)=TRIM([1]qualifiche!$E$9),[1]qualifiche!$D$9,
IF(TRIM('[1]Personale di appoggio'!$F261)=TRIM([1]qualifiche!$E$10),[1]qualifiche!$D$10,
IF(TRIM('[1]Personale di appoggio'!$F261)=TRIM([1]qualifiche!$E$11),[1]qualifiche!$D$11,""))))))))))</f>
        <v>1</v>
      </c>
      <c r="G260" s="5" t="s">
        <v>1427</v>
      </c>
      <c r="H260" s="5" t="s">
        <v>1428</v>
      </c>
      <c r="I260" s="6" t="s">
        <v>1429</v>
      </c>
      <c r="J260" s="7">
        <f>IF('[1]Personale di appoggio'!J261="X",1,0)</f>
        <v>1</v>
      </c>
      <c r="K260" s="7">
        <f>IF('[1]Personale di appoggio'!K261="X",1,0)</f>
        <v>1</v>
      </c>
      <c r="L260" s="7">
        <f>IF('[1]Personale di appoggio'!L261="X",1,0)</f>
        <v>0</v>
      </c>
      <c r="M260" s="7">
        <f>IF('[1]Personale di appoggio'!M261="X",1,0)</f>
        <v>0</v>
      </c>
      <c r="N260" s="3"/>
      <c r="O260" s="3"/>
      <c r="P260" s="11" t="str">
        <f>IF('[1]Personale di appoggio'!$P261="","",'[1]Personale di appoggio'!$P261)</f>
        <v/>
      </c>
      <c r="Q260" s="4" t="s">
        <v>6</v>
      </c>
      <c r="R260" s="4">
        <f t="shared" si="4"/>
        <v>2</v>
      </c>
    </row>
    <row r="261" spans="1:18" ht="315" x14ac:dyDescent="0.45">
      <c r="A261" s="9">
        <v>261</v>
      </c>
      <c r="B261" s="2" t="s">
        <v>1430</v>
      </c>
      <c r="C261" s="3" t="s">
        <v>1431</v>
      </c>
      <c r="D261" s="3" t="s">
        <v>1432</v>
      </c>
      <c r="E261" s="4">
        <f>IFERROR(INDEX([1]uot!$A$2:$A$40, MATCH("*"&amp;'[1]Personale di appoggio'!$D262&amp;"*", [1]uot!$B$2:$B$40, 0)), "Valore non trovato")</f>
        <v>8</v>
      </c>
      <c r="F261" s="4">
        <f>IF(TRIM('[1]Personale di appoggio'!$F262)=TRIM([1]qualifiche!$E$2),[1]qualifiche!$D$2,
IF(TRIM('[1]Personale di appoggio'!$F262)=TRIM([1]qualifiche!$E$3),[1]qualifiche!$D$3,
IF(TRIM('[1]Personale di appoggio'!$F262)=TRIM([1]qualifiche!$E$4),[1]qualifiche!$D$4,
IF(TRIM('[1]Personale di appoggio'!$F262)=TRIM([1]qualifiche!$E$5),[1]qualifiche!$D$5,
IF(TRIM('[1]Personale di appoggio'!$F262)=TRIM([1]qualifiche!$E$6),[1]qualifiche!$D$6,
IF(TRIM('[1]Personale di appoggio'!$F262)=TRIM([1]qualifiche!$E$7),[1]qualifiche!$D$7,
IF(TRIM('[1]Personale di appoggio'!$F262)=TRIM([1]qualifiche!$E$8),[1]qualifiche!$D$8,
IF(TRIM('[1]Personale di appoggio'!$F262)=TRIM([1]qualifiche!$E$9),[1]qualifiche!$D$9,
IF(TRIM('[1]Personale di appoggio'!$F262)=TRIM([1]qualifiche!$E$10),[1]qualifiche!$D$10,
IF(TRIM('[1]Personale di appoggio'!$F262)=TRIM([1]qualifiche!$E$11),[1]qualifiche!$D$11,""))))))))))</f>
        <v>2</v>
      </c>
      <c r="G261" s="5"/>
      <c r="H261" s="5" t="s">
        <v>1433</v>
      </c>
      <c r="I261" s="6" t="s">
        <v>1434</v>
      </c>
      <c r="J261" s="7">
        <f>IF('[1]Personale di appoggio'!J262="X",1,0)</f>
        <v>1</v>
      </c>
      <c r="K261" s="7">
        <f>IF('[1]Personale di appoggio'!K262="X",1,0)</f>
        <v>0</v>
      </c>
      <c r="L261" s="7">
        <f>IF('[1]Personale di appoggio'!L262="X",1,0)</f>
        <v>1</v>
      </c>
      <c r="M261" s="7">
        <f>IF('[1]Personale di appoggio'!M262="X",1,0)</f>
        <v>0</v>
      </c>
      <c r="N261" s="3"/>
      <c r="O261" s="3"/>
      <c r="P261" s="11" t="str">
        <f>IF('[1]Personale di appoggio'!$P262="","",'[1]Personale di appoggio'!$P262)</f>
        <v>E' AUTORIZZATO AL PART-TIME AL 50% (PRESTA 3 GIORNI LAVORATIVI/SETTIMANA) E NON SVOLGE SERVIZIO ESTERNO DI VERIFICA E CERTIFICAZIONE</v>
      </c>
      <c r="Q261" s="4" t="s">
        <v>6</v>
      </c>
      <c r="R261" s="4">
        <f t="shared" si="4"/>
        <v>2</v>
      </c>
    </row>
    <row r="262" spans="1:18" ht="204.75" x14ac:dyDescent="0.45">
      <c r="A262" s="9">
        <v>262</v>
      </c>
      <c r="B262" s="2" t="s">
        <v>1435</v>
      </c>
      <c r="C262" s="3" t="s">
        <v>1436</v>
      </c>
      <c r="D262" s="3" t="s">
        <v>769</v>
      </c>
      <c r="E262" s="4">
        <f>IFERROR(INDEX([1]uot!$A$2:$A$40, MATCH("*"&amp;'[1]Personale di appoggio'!$D263&amp;"*", [1]uot!$B$2:$B$40, 0)), "Valore non trovato")</f>
        <v>8</v>
      </c>
      <c r="F262" s="4">
        <f>IF(TRIM('[1]Personale di appoggio'!$F263)=TRIM([1]qualifiche!$E$2),[1]qualifiche!$D$2,
IF(TRIM('[1]Personale di appoggio'!$F263)=TRIM([1]qualifiche!$E$3),[1]qualifiche!$D$3,
IF(TRIM('[1]Personale di appoggio'!$F263)=TRIM([1]qualifiche!$E$4),[1]qualifiche!$D$4,
IF(TRIM('[1]Personale di appoggio'!$F263)=TRIM([1]qualifiche!$E$5),[1]qualifiche!$D$5,
IF(TRIM('[1]Personale di appoggio'!$F263)=TRIM([1]qualifiche!$E$6),[1]qualifiche!$D$6,
IF(TRIM('[1]Personale di appoggio'!$F263)=TRIM([1]qualifiche!$E$7),[1]qualifiche!$D$7,
IF(TRIM('[1]Personale di appoggio'!$F263)=TRIM([1]qualifiche!$E$8),[1]qualifiche!$D$8,
IF(TRIM('[1]Personale di appoggio'!$F263)=TRIM([1]qualifiche!$E$9),[1]qualifiche!$D$9,
IF(TRIM('[1]Personale di appoggio'!$F263)=TRIM([1]qualifiche!$E$10),[1]qualifiche!$D$10,
IF(TRIM('[1]Personale di appoggio'!$F263)=TRIM([1]qualifiche!$E$11),[1]qualifiche!$D$11,""))))))))))</f>
        <v>2</v>
      </c>
      <c r="G262" s="5" t="s">
        <v>1437</v>
      </c>
      <c r="H262" s="5" t="s">
        <v>1438</v>
      </c>
      <c r="I262" s="6" t="s">
        <v>1439</v>
      </c>
      <c r="J262" s="7">
        <f>IF('[1]Personale di appoggio'!J263="X",1,0)</f>
        <v>1</v>
      </c>
      <c r="K262" s="7">
        <f>IF('[1]Personale di appoggio'!K263="X",1,0)</f>
        <v>1</v>
      </c>
      <c r="L262" s="7">
        <f>IF('[1]Personale di appoggio'!L263="X",1,0)</f>
        <v>0</v>
      </c>
      <c r="M262" s="7">
        <f>IF('[1]Personale di appoggio'!M263="X",1,0)</f>
        <v>0</v>
      </c>
      <c r="N262" s="3"/>
      <c r="O262" s="3"/>
      <c r="P262" s="11" t="str">
        <f>IF('[1]Personale di appoggio'!$P263="","",'[1]Personale di appoggio'!$P263)</f>
        <v>VERRA' COLLOCATO A RIPOSO PER RAGGIUNTI LIMITI D'ETA A PARTIRE DAL 31 DICEMBRE 2025</v>
      </c>
      <c r="Q262" s="4" t="s">
        <v>6</v>
      </c>
      <c r="R262" s="4">
        <f t="shared" si="4"/>
        <v>2</v>
      </c>
    </row>
    <row r="263" spans="1:18" ht="31.5" x14ac:dyDescent="0.45">
      <c r="A263" s="9">
        <v>263</v>
      </c>
      <c r="B263" s="2" t="s">
        <v>1440</v>
      </c>
      <c r="C263" s="3" t="s">
        <v>1441</v>
      </c>
      <c r="D263" s="3" t="s">
        <v>284</v>
      </c>
      <c r="E263" s="4">
        <f>IFERROR(INDEX([1]uot!$A$2:$A$40, MATCH("*"&amp;'[1]Personale di appoggio'!$D264&amp;"*", [1]uot!$B$2:$B$40, 0)), "Valore non trovato")</f>
        <v>8</v>
      </c>
      <c r="F263" s="4">
        <f>IF(TRIM('[1]Personale di appoggio'!$F264)=TRIM([1]qualifiche!$E$2),[1]qualifiche!$D$2,
IF(TRIM('[1]Personale di appoggio'!$F264)=TRIM([1]qualifiche!$E$3),[1]qualifiche!$D$3,
IF(TRIM('[1]Personale di appoggio'!$F264)=TRIM([1]qualifiche!$E$4),[1]qualifiche!$D$4,
IF(TRIM('[1]Personale di appoggio'!$F264)=TRIM([1]qualifiche!$E$5),[1]qualifiche!$D$5,
IF(TRIM('[1]Personale di appoggio'!$F264)=TRIM([1]qualifiche!$E$6),[1]qualifiche!$D$6,
IF(TRIM('[1]Personale di appoggio'!$F264)=TRIM([1]qualifiche!$E$7),[1]qualifiche!$D$7,
IF(TRIM('[1]Personale di appoggio'!$F264)=TRIM([1]qualifiche!$E$8),[1]qualifiche!$D$8,
IF(TRIM('[1]Personale di appoggio'!$F264)=TRIM([1]qualifiche!$E$9),[1]qualifiche!$D$9,
IF(TRIM('[1]Personale di appoggio'!$F264)=TRIM([1]qualifiche!$E$10),[1]qualifiche!$D$10,
IF(TRIM('[1]Personale di appoggio'!$F264)=TRIM([1]qualifiche!$E$11),[1]qualifiche!$D$11,""))))))))))</f>
        <v>4</v>
      </c>
      <c r="G263" s="5" t="s">
        <v>1442</v>
      </c>
      <c r="H263" s="5" t="s">
        <v>1443</v>
      </c>
      <c r="I263" s="6" t="s">
        <v>1444</v>
      </c>
      <c r="J263" s="7">
        <f>IF('[1]Personale di appoggio'!J264="X",1,0)</f>
        <v>1</v>
      </c>
      <c r="K263" s="7">
        <f>IF('[1]Personale di appoggio'!K264="X",1,0)</f>
        <v>1</v>
      </c>
      <c r="L263" s="7">
        <f>IF('[1]Personale di appoggio'!L264="X",1,0)</f>
        <v>1</v>
      </c>
      <c r="M263" s="7">
        <f>IF('[1]Personale di appoggio'!M264="X",1,0)</f>
        <v>0</v>
      </c>
      <c r="N263" s="3"/>
      <c r="O263" s="3"/>
      <c r="P263" s="11" t="str">
        <f>IF('[1]Personale di appoggio'!$P264="","",'[1]Personale di appoggio'!$P264)</f>
        <v/>
      </c>
      <c r="Q263" s="4" t="s">
        <v>6</v>
      </c>
      <c r="R263" s="4">
        <f t="shared" si="4"/>
        <v>2</v>
      </c>
    </row>
    <row r="264" spans="1:18" ht="31.5" x14ac:dyDescent="0.45">
      <c r="A264" s="9">
        <v>264</v>
      </c>
      <c r="B264" s="2" t="s">
        <v>1445</v>
      </c>
      <c r="C264" s="3" t="s">
        <v>1446</v>
      </c>
      <c r="D264" s="3" t="s">
        <v>1305</v>
      </c>
      <c r="E264" s="4">
        <f>IFERROR(INDEX([1]uot!$A$2:$A$40, MATCH("*"&amp;'[1]Personale di appoggio'!$D265&amp;"*", [1]uot!$B$2:$B$40, 0)), "Valore non trovato")</f>
        <v>8</v>
      </c>
      <c r="F264" s="4">
        <f>IF(TRIM('[1]Personale di appoggio'!$F265)=TRIM([1]qualifiche!$E$2),[1]qualifiche!$D$2,
IF(TRIM('[1]Personale di appoggio'!$F265)=TRIM([1]qualifiche!$E$3),[1]qualifiche!$D$3,
IF(TRIM('[1]Personale di appoggio'!$F265)=TRIM([1]qualifiche!$E$4),[1]qualifiche!$D$4,
IF(TRIM('[1]Personale di appoggio'!$F265)=TRIM([1]qualifiche!$E$5),[1]qualifiche!$D$5,
IF(TRIM('[1]Personale di appoggio'!$F265)=TRIM([1]qualifiche!$E$6),[1]qualifiche!$D$6,
IF(TRIM('[1]Personale di appoggio'!$F265)=TRIM([1]qualifiche!$E$7),[1]qualifiche!$D$7,
IF(TRIM('[1]Personale di appoggio'!$F265)=TRIM([1]qualifiche!$E$8),[1]qualifiche!$D$8,
IF(TRIM('[1]Personale di appoggio'!$F265)=TRIM([1]qualifiche!$E$9),[1]qualifiche!$D$9,
IF(TRIM('[1]Personale di appoggio'!$F265)=TRIM([1]qualifiche!$E$10),[1]qualifiche!$D$10,
IF(TRIM('[1]Personale di appoggio'!$F265)=TRIM([1]qualifiche!$E$11),[1]qualifiche!$D$11,""))))))))))</f>
        <v>6</v>
      </c>
      <c r="G264" s="5" t="s">
        <v>1447</v>
      </c>
      <c r="H264" s="5" t="s">
        <v>1448</v>
      </c>
      <c r="I264" s="6" t="s">
        <v>1449</v>
      </c>
      <c r="J264" s="7">
        <f>IF('[1]Personale di appoggio'!J265="X",1,0)</f>
        <v>0</v>
      </c>
      <c r="K264" s="7">
        <f>IF('[1]Personale di appoggio'!K265="X",1,0)</f>
        <v>0</v>
      </c>
      <c r="L264" s="7">
        <f>IF('[1]Personale di appoggio'!L265="X",1,0)</f>
        <v>0</v>
      </c>
      <c r="M264" s="7">
        <f>IF('[1]Personale di appoggio'!M265="X",1,0)</f>
        <v>0</v>
      </c>
      <c r="N264" s="3"/>
      <c r="O264" s="3"/>
      <c r="P264" s="11" t="str">
        <f>IF('[1]Personale di appoggio'!$P265="","",'[1]Personale di appoggio'!$P265)</f>
        <v/>
      </c>
      <c r="Q264" s="4" t="s">
        <v>6</v>
      </c>
      <c r="R264" s="4">
        <f t="shared" si="4"/>
        <v>4</v>
      </c>
    </row>
    <row r="265" spans="1:18" ht="31.5" x14ac:dyDescent="0.45">
      <c r="A265" s="9">
        <v>265</v>
      </c>
      <c r="B265" s="2" t="s">
        <v>1450</v>
      </c>
      <c r="C265" s="3" t="s">
        <v>1451</v>
      </c>
      <c r="D265" s="3" t="s">
        <v>1157</v>
      </c>
      <c r="E265" s="4">
        <f>IFERROR(INDEX([1]uot!$A$2:$A$40, MATCH("*"&amp;'[1]Personale di appoggio'!$D266&amp;"*", [1]uot!$B$2:$B$40, 0)), "Valore non trovato")</f>
        <v>8</v>
      </c>
      <c r="F265" s="4">
        <f>IF(TRIM('[1]Personale di appoggio'!$F266)=TRIM([1]qualifiche!$E$2),[1]qualifiche!$D$2,
IF(TRIM('[1]Personale di appoggio'!$F266)=TRIM([1]qualifiche!$E$3),[1]qualifiche!$D$3,
IF(TRIM('[1]Personale di appoggio'!$F266)=TRIM([1]qualifiche!$E$4),[1]qualifiche!$D$4,
IF(TRIM('[1]Personale di appoggio'!$F266)=TRIM([1]qualifiche!$E$5),[1]qualifiche!$D$5,
IF(TRIM('[1]Personale di appoggio'!$F266)=TRIM([1]qualifiche!$E$6),[1]qualifiche!$D$6,
IF(TRIM('[1]Personale di appoggio'!$F266)=TRIM([1]qualifiche!$E$7),[1]qualifiche!$D$7,
IF(TRIM('[1]Personale di appoggio'!$F266)=TRIM([1]qualifiche!$E$8),[1]qualifiche!$D$8,
IF(TRIM('[1]Personale di appoggio'!$F266)=TRIM([1]qualifiche!$E$9),[1]qualifiche!$D$9,
IF(TRIM('[1]Personale di appoggio'!$F266)=TRIM([1]qualifiche!$E$10),[1]qualifiche!$D$10,
IF(TRIM('[1]Personale di appoggio'!$F266)=TRIM([1]qualifiche!$E$11),[1]qualifiche!$D$11,""))))))))))</f>
        <v>7</v>
      </c>
      <c r="G265" s="5" t="s">
        <v>1452</v>
      </c>
      <c r="H265" s="5" t="s">
        <v>1453</v>
      </c>
      <c r="I265" s="6" t="s">
        <v>1454</v>
      </c>
      <c r="J265" s="7">
        <f>IF('[1]Personale di appoggio'!J266="X",1,0)</f>
        <v>0</v>
      </c>
      <c r="K265" s="7">
        <f>IF('[1]Personale di appoggio'!K266="X",1,0)</f>
        <v>0</v>
      </c>
      <c r="L265" s="7">
        <f>IF('[1]Personale di appoggio'!L266="X",1,0)</f>
        <v>0</v>
      </c>
      <c r="M265" s="7">
        <f>IF('[1]Personale di appoggio'!M266="X",1,0)</f>
        <v>0</v>
      </c>
      <c r="N265" s="3"/>
      <c r="O265" s="3"/>
      <c r="P265" s="11" t="str">
        <f>IF('[1]Personale di appoggio'!$P266="","",'[1]Personale di appoggio'!$P266)</f>
        <v/>
      </c>
      <c r="Q265" s="4" t="s">
        <v>6</v>
      </c>
      <c r="R265" s="4">
        <f t="shared" si="4"/>
        <v>4</v>
      </c>
    </row>
    <row r="266" spans="1:18" ht="31.5" x14ac:dyDescent="0.45">
      <c r="A266" s="9">
        <v>266</v>
      </c>
      <c r="B266" s="2" t="s">
        <v>1455</v>
      </c>
      <c r="C266" s="3" t="s">
        <v>1282</v>
      </c>
      <c r="D266" s="3" t="s">
        <v>1456</v>
      </c>
      <c r="E266" s="4">
        <f>IFERROR(INDEX([1]uot!$A$2:$A$40, MATCH("*"&amp;'[1]Personale di appoggio'!$D267&amp;"*", [1]uot!$B$2:$B$40, 0)), "Valore non trovato")</f>
        <v>8</v>
      </c>
      <c r="F266" s="4">
        <f>IF(TRIM('[1]Personale di appoggio'!$F267)=TRIM([1]qualifiche!$E$2),[1]qualifiche!$D$2,
IF(TRIM('[1]Personale di appoggio'!$F267)=TRIM([1]qualifiche!$E$3),[1]qualifiche!$D$3,
IF(TRIM('[1]Personale di appoggio'!$F267)=TRIM([1]qualifiche!$E$4),[1]qualifiche!$D$4,
IF(TRIM('[1]Personale di appoggio'!$F267)=TRIM([1]qualifiche!$E$5),[1]qualifiche!$D$5,
IF(TRIM('[1]Personale di appoggio'!$F267)=TRIM([1]qualifiche!$E$6),[1]qualifiche!$D$6,
IF(TRIM('[1]Personale di appoggio'!$F267)=TRIM([1]qualifiche!$E$7),[1]qualifiche!$D$7,
IF(TRIM('[1]Personale di appoggio'!$F267)=TRIM([1]qualifiche!$E$8),[1]qualifiche!$D$8,
IF(TRIM('[1]Personale di appoggio'!$F267)=TRIM([1]qualifiche!$E$9),[1]qualifiche!$D$9,
IF(TRIM('[1]Personale di appoggio'!$F267)=TRIM([1]qualifiche!$E$10),[1]qualifiche!$D$10,
IF(TRIM('[1]Personale di appoggio'!$F267)=TRIM([1]qualifiche!$E$11),[1]qualifiche!$D$11,""))))))))))</f>
        <v>7</v>
      </c>
      <c r="G266" s="5" t="s">
        <v>1457</v>
      </c>
      <c r="H266" s="5" t="s">
        <v>1458</v>
      </c>
      <c r="I266" s="6" t="s">
        <v>1459</v>
      </c>
      <c r="J266" s="7">
        <f>IF('[1]Personale di appoggio'!J267="X",1,0)</f>
        <v>0</v>
      </c>
      <c r="K266" s="7">
        <f>IF('[1]Personale di appoggio'!K267="X",1,0)</f>
        <v>0</v>
      </c>
      <c r="L266" s="7">
        <f>IF('[1]Personale di appoggio'!L267="X",1,0)</f>
        <v>0</v>
      </c>
      <c r="M266" s="7">
        <f>IF('[1]Personale di appoggio'!M267="X",1,0)</f>
        <v>0</v>
      </c>
      <c r="N266" s="3"/>
      <c r="O266" s="3"/>
      <c r="P266" s="11" t="str">
        <f>IF('[1]Personale di appoggio'!$P267="","",'[1]Personale di appoggio'!$P267)</f>
        <v/>
      </c>
      <c r="Q266" s="4" t="s">
        <v>6</v>
      </c>
      <c r="R266" s="4">
        <f t="shared" si="4"/>
        <v>4</v>
      </c>
    </row>
    <row r="267" spans="1:18" ht="31.5" x14ac:dyDescent="0.45">
      <c r="A267" s="9">
        <v>267</v>
      </c>
      <c r="B267" s="2" t="s">
        <v>1460</v>
      </c>
      <c r="C267" s="3" t="s">
        <v>880</v>
      </c>
      <c r="D267" s="3" t="s">
        <v>1461</v>
      </c>
      <c r="E267" s="4">
        <f>IFERROR(INDEX([1]uot!$A$2:$A$40, MATCH("*"&amp;'[1]Personale di appoggio'!$D268&amp;"*", [1]uot!$B$2:$B$40, 0)), "Valore non trovato")</f>
        <v>2</v>
      </c>
      <c r="F267" s="4">
        <f>IF(TRIM('[1]Personale di appoggio'!$F268)=TRIM([1]qualifiche!$E$2),[1]qualifiche!$D$2,
IF(TRIM('[1]Personale di appoggio'!$F268)=TRIM([1]qualifiche!$E$3),[1]qualifiche!$D$3,
IF(TRIM('[1]Personale di appoggio'!$F268)=TRIM([1]qualifiche!$E$4),[1]qualifiche!$D$4,
IF(TRIM('[1]Personale di appoggio'!$F268)=TRIM([1]qualifiche!$E$5),[1]qualifiche!$D$5,
IF(TRIM('[1]Personale di appoggio'!$F268)=TRIM([1]qualifiche!$E$6),[1]qualifiche!$D$6,
IF(TRIM('[1]Personale di appoggio'!$F268)=TRIM([1]qualifiche!$E$7),[1]qualifiche!$D$7,
IF(TRIM('[1]Personale di appoggio'!$F268)=TRIM([1]qualifiche!$E$8),[1]qualifiche!$D$8,
IF(TRIM('[1]Personale di appoggio'!$F268)=TRIM([1]qualifiche!$E$9),[1]qualifiche!$D$9,
IF(TRIM('[1]Personale di appoggio'!$F268)=TRIM([1]qualifiche!$E$10),[1]qualifiche!$D$10,
IF(TRIM('[1]Personale di appoggio'!$F268)=TRIM([1]qualifiche!$E$11),[1]qualifiche!$D$11,""))))))))))</f>
        <v>1</v>
      </c>
      <c r="G267" s="5" t="s">
        <v>1462</v>
      </c>
      <c r="H267" s="5" t="s">
        <v>1463</v>
      </c>
      <c r="I267" s="6" t="s">
        <v>1464</v>
      </c>
      <c r="J267" s="7">
        <f>IF('[1]Personale di appoggio'!J268="X",1,0)</f>
        <v>1</v>
      </c>
      <c r="K267" s="7">
        <f>IF('[1]Personale di appoggio'!K268="X",1,0)</f>
        <v>1</v>
      </c>
      <c r="L267" s="7">
        <f>IF('[1]Personale di appoggio'!L268="X",1,0)</f>
        <v>1</v>
      </c>
      <c r="M267" s="7">
        <f>IF('[1]Personale di appoggio'!M268="X",1,0)</f>
        <v>0</v>
      </c>
      <c r="N267" s="3"/>
      <c r="O267" s="3"/>
      <c r="P267" s="11" t="str">
        <f>IF('[1]Personale di appoggio'!$P268="","",'[1]Personale di appoggio'!$P268)</f>
        <v/>
      </c>
      <c r="Q267" s="4" t="s">
        <v>6</v>
      </c>
      <c r="R267" s="4">
        <f t="shared" si="4"/>
        <v>2</v>
      </c>
    </row>
    <row r="268" spans="1:18" ht="31.5" x14ac:dyDescent="0.45">
      <c r="A268" s="9">
        <v>268</v>
      </c>
      <c r="B268" s="2" t="s">
        <v>1465</v>
      </c>
      <c r="C268" s="3" t="s">
        <v>1466</v>
      </c>
      <c r="D268" s="3" t="s">
        <v>1467</v>
      </c>
      <c r="E268" s="4">
        <f>IFERROR(INDEX([1]uot!$A$2:$A$40, MATCH("*"&amp;'[1]Personale di appoggio'!$D269&amp;"*", [1]uot!$B$2:$B$40, 0)), "Valore non trovato")</f>
        <v>2</v>
      </c>
      <c r="F268" s="4">
        <f>IF(TRIM('[1]Personale di appoggio'!$F269)=TRIM([1]qualifiche!$E$2),[1]qualifiche!$D$2,
IF(TRIM('[1]Personale di appoggio'!$F269)=TRIM([1]qualifiche!$E$3),[1]qualifiche!$D$3,
IF(TRIM('[1]Personale di appoggio'!$F269)=TRIM([1]qualifiche!$E$4),[1]qualifiche!$D$4,
IF(TRIM('[1]Personale di appoggio'!$F269)=TRIM([1]qualifiche!$E$5),[1]qualifiche!$D$5,
IF(TRIM('[1]Personale di appoggio'!$F269)=TRIM([1]qualifiche!$E$6),[1]qualifiche!$D$6,
IF(TRIM('[1]Personale di appoggio'!$F269)=TRIM([1]qualifiche!$E$7),[1]qualifiche!$D$7,
IF(TRIM('[1]Personale di appoggio'!$F269)=TRIM([1]qualifiche!$E$8),[1]qualifiche!$D$8,
IF(TRIM('[1]Personale di appoggio'!$F269)=TRIM([1]qualifiche!$E$9),[1]qualifiche!$D$9,
IF(TRIM('[1]Personale di appoggio'!$F269)=TRIM([1]qualifiche!$E$10),[1]qualifiche!$D$10,
IF(TRIM('[1]Personale di appoggio'!$F269)=TRIM([1]qualifiche!$E$11),[1]qualifiche!$D$11,""))))))))))</f>
        <v>4</v>
      </c>
      <c r="G268" s="5" t="s">
        <v>1468</v>
      </c>
      <c r="H268" s="5" t="s">
        <v>1469</v>
      </c>
      <c r="I268" s="6" t="s">
        <v>1470</v>
      </c>
      <c r="J268" s="7">
        <f>IF('[1]Personale di appoggio'!J269="X",1,0)</f>
        <v>0</v>
      </c>
      <c r="K268" s="7">
        <f>IF('[1]Personale di appoggio'!K269="X",1,0)</f>
        <v>0</v>
      </c>
      <c r="L268" s="7">
        <f>IF('[1]Personale di appoggio'!L269="X",1,0)</f>
        <v>0</v>
      </c>
      <c r="M268" s="7">
        <f>IF('[1]Personale di appoggio'!M269="X",1,0)</f>
        <v>1</v>
      </c>
      <c r="N268" s="3"/>
      <c r="O268" s="3"/>
      <c r="P268" s="11" t="str">
        <f>IF('[1]Personale di appoggio'!$P269="","",'[1]Personale di appoggio'!$P269)</f>
        <v/>
      </c>
      <c r="Q268" s="4" t="s">
        <v>6</v>
      </c>
      <c r="R268" s="4">
        <f t="shared" si="4"/>
        <v>2</v>
      </c>
    </row>
    <row r="269" spans="1:18" ht="31.5" x14ac:dyDescent="0.45">
      <c r="A269" s="9">
        <v>269</v>
      </c>
      <c r="B269" s="2" t="s">
        <v>1471</v>
      </c>
      <c r="C269" s="3" t="s">
        <v>1472</v>
      </c>
      <c r="D269" s="3" t="s">
        <v>1473</v>
      </c>
      <c r="E269" s="4">
        <f>IFERROR(INDEX([1]uot!$A$2:$A$40, MATCH("*"&amp;'[1]Personale di appoggio'!$D270&amp;"*", [1]uot!$B$2:$B$40, 0)), "Valore non trovato")</f>
        <v>2</v>
      </c>
      <c r="F269" s="4">
        <f>IF(TRIM('[1]Personale di appoggio'!$F270)=TRIM([1]qualifiche!$E$2),[1]qualifiche!$D$2,
IF(TRIM('[1]Personale di appoggio'!$F270)=TRIM([1]qualifiche!$E$3),[1]qualifiche!$D$3,
IF(TRIM('[1]Personale di appoggio'!$F270)=TRIM([1]qualifiche!$E$4),[1]qualifiche!$D$4,
IF(TRIM('[1]Personale di appoggio'!$F270)=TRIM([1]qualifiche!$E$5),[1]qualifiche!$D$5,
IF(TRIM('[1]Personale di appoggio'!$F270)=TRIM([1]qualifiche!$E$6),[1]qualifiche!$D$6,
IF(TRIM('[1]Personale di appoggio'!$F270)=TRIM([1]qualifiche!$E$7),[1]qualifiche!$D$7,
IF(TRIM('[1]Personale di appoggio'!$F270)=TRIM([1]qualifiche!$E$8),[1]qualifiche!$D$8,
IF(TRIM('[1]Personale di appoggio'!$F270)=TRIM([1]qualifiche!$E$9),[1]qualifiche!$D$9,
IF(TRIM('[1]Personale di appoggio'!$F270)=TRIM([1]qualifiche!$E$10),[1]qualifiche!$D$10,
IF(TRIM('[1]Personale di appoggio'!$F270)=TRIM([1]qualifiche!$E$11),[1]qualifiche!$D$11,""))))))))))</f>
        <v>7</v>
      </c>
      <c r="G269" s="5" t="s">
        <v>1474</v>
      </c>
      <c r="H269" s="5" t="s">
        <v>1475</v>
      </c>
      <c r="I269" s="6" t="s">
        <v>1476</v>
      </c>
      <c r="J269" s="7">
        <f>IF('[1]Personale di appoggio'!J270="X",1,0)</f>
        <v>0</v>
      </c>
      <c r="K269" s="7">
        <f>IF('[1]Personale di appoggio'!K270="X",1,0)</f>
        <v>0</v>
      </c>
      <c r="L269" s="7">
        <f>IF('[1]Personale di appoggio'!L270="X",1,0)</f>
        <v>0</v>
      </c>
      <c r="M269" s="7">
        <f>IF('[1]Personale di appoggio'!M270="X",1,0)</f>
        <v>0</v>
      </c>
      <c r="N269" s="3"/>
      <c r="O269" s="3"/>
      <c r="P269" s="11" t="str">
        <f>IF('[1]Personale di appoggio'!$P270="","",'[1]Personale di appoggio'!$P270)</f>
        <v/>
      </c>
      <c r="Q269" s="4" t="s">
        <v>6</v>
      </c>
      <c r="R269" s="4">
        <f t="shared" si="4"/>
        <v>4</v>
      </c>
    </row>
    <row r="270" spans="1:18" ht="31.5" x14ac:dyDescent="0.45">
      <c r="A270" s="9">
        <v>270</v>
      </c>
      <c r="B270" s="2" t="s">
        <v>1477</v>
      </c>
      <c r="C270" s="3" t="s">
        <v>1478</v>
      </c>
      <c r="D270" s="3" t="s">
        <v>1479</v>
      </c>
      <c r="E270" s="4">
        <f>IFERROR(INDEX([1]uot!$A$2:$A$40, MATCH("*"&amp;'[1]Personale di appoggio'!$D271&amp;"*", [1]uot!$B$2:$B$40, 0)), "Valore non trovato")</f>
        <v>2</v>
      </c>
      <c r="F270" s="4">
        <f>IF(TRIM('[1]Personale di appoggio'!$F271)=TRIM([1]qualifiche!$E$2),[1]qualifiche!$D$2,
IF(TRIM('[1]Personale di appoggio'!$F271)=TRIM([1]qualifiche!$E$3),[1]qualifiche!$D$3,
IF(TRIM('[1]Personale di appoggio'!$F271)=TRIM([1]qualifiche!$E$4),[1]qualifiche!$D$4,
IF(TRIM('[1]Personale di appoggio'!$F271)=TRIM([1]qualifiche!$E$5),[1]qualifiche!$D$5,
IF(TRIM('[1]Personale di appoggio'!$F271)=TRIM([1]qualifiche!$E$6),[1]qualifiche!$D$6,
IF(TRIM('[1]Personale di appoggio'!$F271)=TRIM([1]qualifiche!$E$7),[1]qualifiche!$D$7,
IF(TRIM('[1]Personale di appoggio'!$F271)=TRIM([1]qualifiche!$E$8),[1]qualifiche!$D$8,
IF(TRIM('[1]Personale di appoggio'!$F271)=TRIM([1]qualifiche!$E$9),[1]qualifiche!$D$9,
IF(TRIM('[1]Personale di appoggio'!$F271)=TRIM([1]qualifiche!$E$10),[1]qualifiche!$D$10,
IF(TRIM('[1]Personale di appoggio'!$F271)=TRIM([1]qualifiche!$E$11),[1]qualifiche!$D$11,""))))))))))</f>
        <v>7</v>
      </c>
      <c r="G270" s="5" t="s">
        <v>1480</v>
      </c>
      <c r="H270" s="5" t="s">
        <v>1481</v>
      </c>
      <c r="I270" s="6" t="s">
        <v>1482</v>
      </c>
      <c r="J270" s="7">
        <f>IF('[1]Personale di appoggio'!J271="X",1,0)</f>
        <v>0</v>
      </c>
      <c r="K270" s="7">
        <f>IF('[1]Personale di appoggio'!K271="X",1,0)</f>
        <v>0</v>
      </c>
      <c r="L270" s="7">
        <f>IF('[1]Personale di appoggio'!L271="X",1,0)</f>
        <v>0</v>
      </c>
      <c r="M270" s="7">
        <f>IF('[1]Personale di appoggio'!M271="X",1,0)</f>
        <v>0</v>
      </c>
      <c r="N270" s="3"/>
      <c r="O270" s="3"/>
      <c r="P270" s="11" t="str">
        <f>IF('[1]Personale di appoggio'!$P271="","",'[1]Personale di appoggio'!$P271)</f>
        <v/>
      </c>
      <c r="Q270" s="4" t="s">
        <v>6</v>
      </c>
      <c r="R270" s="4">
        <f t="shared" si="4"/>
        <v>4</v>
      </c>
    </row>
    <row r="271" spans="1:18" ht="31.5" x14ac:dyDescent="0.45">
      <c r="A271" s="9">
        <v>271</v>
      </c>
      <c r="B271" s="2" t="s">
        <v>1483</v>
      </c>
      <c r="C271" s="3" t="s">
        <v>1484</v>
      </c>
      <c r="D271" s="3" t="s">
        <v>63</v>
      </c>
      <c r="E271" s="4">
        <f>IFERROR(INDEX([1]uot!$A$2:$A$40, MATCH("*"&amp;'[1]Personale di appoggio'!$D272&amp;"*", [1]uot!$B$2:$B$40, 0)), "Valore non trovato")</f>
        <v>2</v>
      </c>
      <c r="F271" s="4">
        <f>IF(TRIM('[1]Personale di appoggio'!$F272)=TRIM([1]qualifiche!$E$2),[1]qualifiche!$D$2,
IF(TRIM('[1]Personale di appoggio'!$F272)=TRIM([1]qualifiche!$E$3),[1]qualifiche!$D$3,
IF(TRIM('[1]Personale di appoggio'!$F272)=TRIM([1]qualifiche!$E$4),[1]qualifiche!$D$4,
IF(TRIM('[1]Personale di appoggio'!$F272)=TRIM([1]qualifiche!$E$5),[1]qualifiche!$D$5,
IF(TRIM('[1]Personale di appoggio'!$F272)=TRIM([1]qualifiche!$E$6),[1]qualifiche!$D$6,
IF(TRIM('[1]Personale di appoggio'!$F272)=TRIM([1]qualifiche!$E$7),[1]qualifiche!$D$7,
IF(TRIM('[1]Personale di appoggio'!$F272)=TRIM([1]qualifiche!$E$8),[1]qualifiche!$D$8,
IF(TRIM('[1]Personale di appoggio'!$F272)=TRIM([1]qualifiche!$E$9),[1]qualifiche!$D$9,
IF(TRIM('[1]Personale di appoggio'!$F272)=TRIM([1]qualifiche!$E$10),[1]qualifiche!$D$10,
IF(TRIM('[1]Personale di appoggio'!$F272)=TRIM([1]qualifiche!$E$11),[1]qualifiche!$D$11,""))))))))))</f>
        <v>7</v>
      </c>
      <c r="G271" s="5" t="s">
        <v>1485</v>
      </c>
      <c r="H271" s="5" t="s">
        <v>1486</v>
      </c>
      <c r="I271" s="6" t="s">
        <v>1487</v>
      </c>
      <c r="J271" s="7">
        <f>IF('[1]Personale di appoggio'!J272="X",1,0)</f>
        <v>0</v>
      </c>
      <c r="K271" s="7">
        <f>IF('[1]Personale di appoggio'!K272="X",1,0)</f>
        <v>0</v>
      </c>
      <c r="L271" s="7">
        <f>IF('[1]Personale di appoggio'!L272="X",1,0)</f>
        <v>0</v>
      </c>
      <c r="M271" s="7">
        <f>IF('[1]Personale di appoggio'!M272="X",1,0)</f>
        <v>0</v>
      </c>
      <c r="N271" s="3"/>
      <c r="O271" s="3"/>
      <c r="P271" s="11" t="str">
        <f>IF('[1]Personale di appoggio'!$P272="","",'[1]Personale di appoggio'!$P272)</f>
        <v/>
      </c>
      <c r="Q271" s="4" t="s">
        <v>6</v>
      </c>
      <c r="R271" s="4">
        <f t="shared" si="4"/>
        <v>4</v>
      </c>
    </row>
    <row r="272" spans="1:18" ht="31.5" x14ac:dyDescent="0.45">
      <c r="A272" s="9">
        <v>272</v>
      </c>
      <c r="B272" s="2" t="s">
        <v>1488</v>
      </c>
      <c r="C272" s="3" t="s">
        <v>1489</v>
      </c>
      <c r="D272" s="3" t="s">
        <v>1490</v>
      </c>
      <c r="E272" s="4">
        <f>IFERROR(INDEX([1]uot!$A$2:$A$40, MATCH("*"&amp;'[1]Personale di appoggio'!$D273&amp;"*", [1]uot!$B$2:$B$40, 0)), "Valore non trovato")</f>
        <v>2</v>
      </c>
      <c r="F272" s="4">
        <f>IF(TRIM('[1]Personale di appoggio'!$F273)=TRIM([1]qualifiche!$E$2),[1]qualifiche!$D$2,
IF(TRIM('[1]Personale di appoggio'!$F273)=TRIM([1]qualifiche!$E$3),[1]qualifiche!$D$3,
IF(TRIM('[1]Personale di appoggio'!$F273)=TRIM([1]qualifiche!$E$4),[1]qualifiche!$D$4,
IF(TRIM('[1]Personale di appoggio'!$F273)=TRIM([1]qualifiche!$E$5),[1]qualifiche!$D$5,
IF(TRIM('[1]Personale di appoggio'!$F273)=TRIM([1]qualifiche!$E$6),[1]qualifiche!$D$6,
IF(TRIM('[1]Personale di appoggio'!$F273)=TRIM([1]qualifiche!$E$7),[1]qualifiche!$D$7,
IF(TRIM('[1]Personale di appoggio'!$F273)=TRIM([1]qualifiche!$E$8),[1]qualifiche!$D$8,
IF(TRIM('[1]Personale di appoggio'!$F273)=TRIM([1]qualifiche!$E$9),[1]qualifiche!$D$9,
IF(TRIM('[1]Personale di appoggio'!$F273)=TRIM([1]qualifiche!$E$10),[1]qualifiche!$D$10,
IF(TRIM('[1]Personale di appoggio'!$F273)=TRIM([1]qualifiche!$E$11),[1]qualifiche!$D$11,""))))))))))</f>
        <v>8</v>
      </c>
      <c r="G272" s="5" t="s">
        <v>1491</v>
      </c>
      <c r="H272" s="5" t="s">
        <v>1492</v>
      </c>
      <c r="I272" s="6" t="s">
        <v>1493</v>
      </c>
      <c r="J272" s="7">
        <f>IF('[1]Personale di appoggio'!J273="X",1,0)</f>
        <v>0</v>
      </c>
      <c r="K272" s="7">
        <f>IF('[1]Personale di appoggio'!K273="X",1,0)</f>
        <v>0</v>
      </c>
      <c r="L272" s="7">
        <f>IF('[1]Personale di appoggio'!L273="X",1,0)</f>
        <v>0</v>
      </c>
      <c r="M272" s="7">
        <f>IF('[1]Personale di appoggio'!M273="X",1,0)</f>
        <v>0</v>
      </c>
      <c r="N272" s="3"/>
      <c r="O272" s="3"/>
      <c r="P272" s="11" t="str">
        <f>IF('[1]Personale di appoggio'!$P273="","",'[1]Personale di appoggio'!$P273)</f>
        <v/>
      </c>
      <c r="Q272" s="4" t="s">
        <v>6</v>
      </c>
      <c r="R272" s="4">
        <f t="shared" si="4"/>
        <v>4</v>
      </c>
    </row>
    <row r="273" spans="1:18" ht="31.5" x14ac:dyDescent="0.45">
      <c r="A273" s="9">
        <v>273</v>
      </c>
      <c r="B273" s="2" t="s">
        <v>1494</v>
      </c>
      <c r="C273" s="3" t="s">
        <v>1495</v>
      </c>
      <c r="D273" s="3" t="s">
        <v>1496</v>
      </c>
      <c r="E273" s="4">
        <f>IFERROR(INDEX([1]uot!$A$2:$A$40, MATCH("*"&amp;'[1]Personale di appoggio'!$D274&amp;"*", [1]uot!$B$2:$B$40, 0)), "Valore non trovato")</f>
        <v>2</v>
      </c>
      <c r="F273" s="4">
        <f>IF(TRIM('[1]Personale di appoggio'!$F274)=TRIM([1]qualifiche!$E$2),[1]qualifiche!$D$2,
IF(TRIM('[1]Personale di appoggio'!$F274)=TRIM([1]qualifiche!$E$3),[1]qualifiche!$D$3,
IF(TRIM('[1]Personale di appoggio'!$F274)=TRIM([1]qualifiche!$E$4),[1]qualifiche!$D$4,
IF(TRIM('[1]Personale di appoggio'!$F274)=TRIM([1]qualifiche!$E$5),[1]qualifiche!$D$5,
IF(TRIM('[1]Personale di appoggio'!$F274)=TRIM([1]qualifiche!$E$6),[1]qualifiche!$D$6,
IF(TRIM('[1]Personale di appoggio'!$F274)=TRIM([1]qualifiche!$E$7),[1]qualifiche!$D$7,
IF(TRIM('[1]Personale di appoggio'!$F274)=TRIM([1]qualifiche!$E$8),[1]qualifiche!$D$8,
IF(TRIM('[1]Personale di appoggio'!$F274)=TRIM([1]qualifiche!$E$9),[1]qualifiche!$D$9,
IF(TRIM('[1]Personale di appoggio'!$F274)=TRIM([1]qualifiche!$E$10),[1]qualifiche!$D$10,
IF(TRIM('[1]Personale di appoggio'!$F274)=TRIM([1]qualifiche!$E$11),[1]qualifiche!$D$11,""))))))))))</f>
        <v>8</v>
      </c>
      <c r="G273" s="5" t="s">
        <v>1497</v>
      </c>
      <c r="H273" s="5" t="s">
        <v>1498</v>
      </c>
      <c r="I273" s="6" t="s">
        <v>1499</v>
      </c>
      <c r="J273" s="7">
        <f>IF('[1]Personale di appoggio'!J274="X",1,0)</f>
        <v>0</v>
      </c>
      <c r="K273" s="7">
        <f>IF('[1]Personale di appoggio'!K274="X",1,0)</f>
        <v>0</v>
      </c>
      <c r="L273" s="7">
        <f>IF('[1]Personale di appoggio'!L274="X",1,0)</f>
        <v>0</v>
      </c>
      <c r="M273" s="7">
        <f>IF('[1]Personale di appoggio'!M274="X",1,0)</f>
        <v>0</v>
      </c>
      <c r="N273" s="3"/>
      <c r="O273" s="3"/>
      <c r="P273" s="11" t="str">
        <f>IF('[1]Personale di appoggio'!$P274="","",'[1]Personale di appoggio'!$P274)</f>
        <v/>
      </c>
      <c r="Q273" s="4" t="s">
        <v>6</v>
      </c>
      <c r="R273" s="4">
        <f t="shared" si="4"/>
        <v>4</v>
      </c>
    </row>
    <row r="274" spans="1:18" ht="31.5" x14ac:dyDescent="0.45">
      <c r="A274" s="9">
        <v>274</v>
      </c>
      <c r="B274" s="2" t="s">
        <v>1500</v>
      </c>
      <c r="C274" s="3" t="s">
        <v>1501</v>
      </c>
      <c r="D274" s="3" t="s">
        <v>1502</v>
      </c>
      <c r="E274" s="4">
        <f>IFERROR(INDEX([1]uot!$A$2:$A$40, MATCH("*"&amp;'[1]Personale di appoggio'!$D275&amp;"*", [1]uot!$B$2:$B$40, 0)), "Valore non trovato")</f>
        <v>2</v>
      </c>
      <c r="F274" s="4">
        <f>IF(TRIM('[1]Personale di appoggio'!$F275)=TRIM([1]qualifiche!$E$2),[1]qualifiche!$D$2,
IF(TRIM('[1]Personale di appoggio'!$F275)=TRIM([1]qualifiche!$E$3),[1]qualifiche!$D$3,
IF(TRIM('[1]Personale di appoggio'!$F275)=TRIM([1]qualifiche!$E$4),[1]qualifiche!$D$4,
IF(TRIM('[1]Personale di appoggio'!$F275)=TRIM([1]qualifiche!$E$5),[1]qualifiche!$D$5,
IF(TRIM('[1]Personale di appoggio'!$F275)=TRIM([1]qualifiche!$E$6),[1]qualifiche!$D$6,
IF(TRIM('[1]Personale di appoggio'!$F275)=TRIM([1]qualifiche!$E$7),[1]qualifiche!$D$7,
IF(TRIM('[1]Personale di appoggio'!$F275)=TRIM([1]qualifiche!$E$8),[1]qualifiche!$D$8,
IF(TRIM('[1]Personale di appoggio'!$F275)=TRIM([1]qualifiche!$E$9),[1]qualifiche!$D$9,
IF(TRIM('[1]Personale di appoggio'!$F275)=TRIM([1]qualifiche!$E$10),[1]qualifiche!$D$10,
IF(TRIM('[1]Personale di appoggio'!$F275)=TRIM([1]qualifiche!$E$11),[1]qualifiche!$D$11,""))))))))))</f>
        <v>8</v>
      </c>
      <c r="G274" s="5" t="s">
        <v>1503</v>
      </c>
      <c r="H274" s="5" t="s">
        <v>1504</v>
      </c>
      <c r="I274" s="6" t="s">
        <v>1505</v>
      </c>
      <c r="J274" s="7">
        <f>IF('[1]Personale di appoggio'!J275="X",1,0)</f>
        <v>0</v>
      </c>
      <c r="K274" s="7">
        <f>IF('[1]Personale di appoggio'!K275="X",1,0)</f>
        <v>0</v>
      </c>
      <c r="L274" s="7">
        <f>IF('[1]Personale di appoggio'!L275="X",1,0)</f>
        <v>0</v>
      </c>
      <c r="M274" s="7">
        <f>IF('[1]Personale di appoggio'!M275="X",1,0)</f>
        <v>0</v>
      </c>
      <c r="N274" s="3"/>
      <c r="O274" s="3"/>
      <c r="P274" s="11" t="str">
        <f>IF('[1]Personale di appoggio'!$P275="","",'[1]Personale di appoggio'!$P275)</f>
        <v/>
      </c>
      <c r="Q274" s="4" t="s">
        <v>6</v>
      </c>
      <c r="R274" s="4">
        <f t="shared" si="4"/>
        <v>4</v>
      </c>
    </row>
    <row r="275" spans="1:18" ht="42.75" x14ac:dyDescent="0.45">
      <c r="A275" s="9">
        <v>275</v>
      </c>
      <c r="B275" s="2" t="s">
        <v>1506</v>
      </c>
      <c r="C275" s="3" t="s">
        <v>1507</v>
      </c>
      <c r="D275" s="3" t="s">
        <v>1508</v>
      </c>
      <c r="E275" s="4">
        <f>IFERROR(INDEX([1]uot!$A$2:$A$40, MATCH("*"&amp;'[1]Personale di appoggio'!$D276&amp;"*", [1]uot!$B$2:$B$40, 0)), "Valore non trovato")</f>
        <v>10</v>
      </c>
      <c r="F275" s="4">
        <f>IF(TRIM('[1]Personale di appoggio'!$F276)=TRIM([1]qualifiche!$E$2),[1]qualifiche!$D$2,
IF(TRIM('[1]Personale di appoggio'!$F276)=TRIM([1]qualifiche!$E$3),[1]qualifiche!$D$3,
IF(TRIM('[1]Personale di appoggio'!$F276)=TRIM([1]qualifiche!$E$4),[1]qualifiche!$D$4,
IF(TRIM('[1]Personale di appoggio'!$F276)=TRIM([1]qualifiche!$E$5),[1]qualifiche!$D$5,
IF(TRIM('[1]Personale di appoggio'!$F276)=TRIM([1]qualifiche!$E$6),[1]qualifiche!$D$6,
IF(TRIM('[1]Personale di appoggio'!$F276)=TRIM([1]qualifiche!$E$7),[1]qualifiche!$D$7,
IF(TRIM('[1]Personale di appoggio'!$F276)=TRIM([1]qualifiche!$E$8),[1]qualifiche!$D$8,
IF(TRIM('[1]Personale di appoggio'!$F276)=TRIM([1]qualifiche!$E$9),[1]qualifiche!$D$9,
IF(TRIM('[1]Personale di appoggio'!$F276)=TRIM([1]qualifiche!$E$10),[1]qualifiche!$D$10,
IF(TRIM('[1]Personale di appoggio'!$F276)=TRIM([1]qualifiche!$E$11),[1]qualifiche!$D$11,""))))))))))</f>
        <v>1</v>
      </c>
      <c r="G275" s="5" t="s">
        <v>1509</v>
      </c>
      <c r="H275" s="5" t="s">
        <v>1510</v>
      </c>
      <c r="I275" s="6" t="s">
        <v>1511</v>
      </c>
      <c r="J275" s="7">
        <f>IF('[1]Personale di appoggio'!J276="X",1,0)</f>
        <v>0</v>
      </c>
      <c r="K275" s="7">
        <f>IF('[1]Personale di appoggio'!K276="X",1,0)</f>
        <v>0</v>
      </c>
      <c r="L275" s="7">
        <f>IF('[1]Personale di appoggio'!L276="X",1,0)</f>
        <v>0</v>
      </c>
      <c r="M275" s="7">
        <f>IF('[1]Personale di appoggio'!M276="X",1,0)</f>
        <v>0</v>
      </c>
      <c r="N275" s="3"/>
      <c r="O275" s="3"/>
      <c r="P275" s="11" t="str">
        <f>IF('[1]Personale di appoggio'!$P276="","",'[1]Personale di appoggio'!$P276)</f>
        <v/>
      </c>
      <c r="Q275" s="4" t="s">
        <v>6</v>
      </c>
      <c r="R275" s="4">
        <f t="shared" si="4"/>
        <v>4</v>
      </c>
    </row>
    <row r="276" spans="1:18" ht="31.5" x14ac:dyDescent="0.45">
      <c r="A276" s="9">
        <v>276</v>
      </c>
      <c r="B276" s="2" t="s">
        <v>1512</v>
      </c>
      <c r="C276" s="3" t="s">
        <v>763</v>
      </c>
      <c r="D276" s="3" t="s">
        <v>1513</v>
      </c>
      <c r="E276" s="4">
        <f>IFERROR(INDEX([1]uot!$A$2:$A$40, MATCH("*"&amp;'[1]Personale di appoggio'!$D277&amp;"*", [1]uot!$B$2:$B$40, 0)), "Valore non trovato")</f>
        <v>10</v>
      </c>
      <c r="F276" s="4">
        <f>IF(TRIM('[1]Personale di appoggio'!$F277)=TRIM([1]qualifiche!$E$2),[1]qualifiche!$D$2,
IF(TRIM('[1]Personale di appoggio'!$F277)=TRIM([1]qualifiche!$E$3),[1]qualifiche!$D$3,
IF(TRIM('[1]Personale di appoggio'!$F277)=TRIM([1]qualifiche!$E$4),[1]qualifiche!$D$4,
IF(TRIM('[1]Personale di appoggio'!$F277)=TRIM([1]qualifiche!$E$5),[1]qualifiche!$D$5,
IF(TRIM('[1]Personale di appoggio'!$F277)=TRIM([1]qualifiche!$E$6),[1]qualifiche!$D$6,
IF(TRIM('[1]Personale di appoggio'!$F277)=TRIM([1]qualifiche!$E$7),[1]qualifiche!$D$7,
IF(TRIM('[1]Personale di appoggio'!$F277)=TRIM([1]qualifiche!$E$8),[1]qualifiche!$D$8,
IF(TRIM('[1]Personale di appoggio'!$F277)=TRIM([1]qualifiche!$E$9),[1]qualifiche!$D$9,
IF(TRIM('[1]Personale di appoggio'!$F277)=TRIM([1]qualifiche!$E$10),[1]qualifiche!$D$10,
IF(TRIM('[1]Personale di appoggio'!$F277)=TRIM([1]qualifiche!$E$11),[1]qualifiche!$D$11,""))))))))))</f>
        <v>2</v>
      </c>
      <c r="G276" s="5" t="s">
        <v>1514</v>
      </c>
      <c r="H276" s="5" t="s">
        <v>1515</v>
      </c>
      <c r="I276" s="6" t="s">
        <v>1516</v>
      </c>
      <c r="J276" s="7">
        <f>IF('[1]Personale di appoggio'!J277="X",1,0)</f>
        <v>0</v>
      </c>
      <c r="K276" s="7">
        <f>IF('[1]Personale di appoggio'!K277="X",1,0)</f>
        <v>1</v>
      </c>
      <c r="L276" s="7">
        <f>IF('[1]Personale di appoggio'!L277="X",1,0)</f>
        <v>1</v>
      </c>
      <c r="M276" s="7">
        <f>IF('[1]Personale di appoggio'!M277="X",1,0)</f>
        <v>0</v>
      </c>
      <c r="N276" s="3"/>
      <c r="O276" s="3"/>
      <c r="P276" s="11" t="str">
        <f>IF('[1]Personale di appoggio'!$P277="","",'[1]Personale di appoggio'!$P277)</f>
        <v>SOLLEVAMENTO: ascensori</v>
      </c>
      <c r="Q276" s="4" t="s">
        <v>6</v>
      </c>
      <c r="R276" s="4">
        <f t="shared" si="4"/>
        <v>2</v>
      </c>
    </row>
    <row r="277" spans="1:18" ht="31.5" x14ac:dyDescent="0.45">
      <c r="A277" s="9">
        <v>277</v>
      </c>
      <c r="B277" s="2" t="s">
        <v>1517</v>
      </c>
      <c r="C277" s="3" t="s">
        <v>1518</v>
      </c>
      <c r="D277" s="3" t="s">
        <v>978</v>
      </c>
      <c r="E277" s="4">
        <f>IFERROR(INDEX([1]uot!$A$2:$A$40, MATCH("*"&amp;'[1]Personale di appoggio'!$D278&amp;"*", [1]uot!$B$2:$B$40, 0)), "Valore non trovato")</f>
        <v>10</v>
      </c>
      <c r="F277" s="4">
        <f>IF(TRIM('[1]Personale di appoggio'!$F278)=TRIM([1]qualifiche!$E$2),[1]qualifiche!$D$2,
IF(TRIM('[1]Personale di appoggio'!$F278)=TRIM([1]qualifiche!$E$3),[1]qualifiche!$D$3,
IF(TRIM('[1]Personale di appoggio'!$F278)=TRIM([1]qualifiche!$E$4),[1]qualifiche!$D$4,
IF(TRIM('[1]Personale di appoggio'!$F278)=TRIM([1]qualifiche!$E$5),[1]qualifiche!$D$5,
IF(TRIM('[1]Personale di appoggio'!$F278)=TRIM([1]qualifiche!$E$6),[1]qualifiche!$D$6,
IF(TRIM('[1]Personale di appoggio'!$F278)=TRIM([1]qualifiche!$E$7),[1]qualifiche!$D$7,
IF(TRIM('[1]Personale di appoggio'!$F278)=TRIM([1]qualifiche!$E$8),[1]qualifiche!$D$8,
IF(TRIM('[1]Personale di appoggio'!$F278)=TRIM([1]qualifiche!$E$9),[1]qualifiche!$D$9,
IF(TRIM('[1]Personale di appoggio'!$F278)=TRIM([1]qualifiche!$E$10),[1]qualifiche!$D$10,
IF(TRIM('[1]Personale di appoggio'!$F278)=TRIM([1]qualifiche!$E$11),[1]qualifiche!$D$11,""))))))))))</f>
        <v>2</v>
      </c>
      <c r="G277" s="5" t="s">
        <v>1519</v>
      </c>
      <c r="H277" s="5" t="s">
        <v>1520</v>
      </c>
      <c r="I277" s="6" t="s">
        <v>1521</v>
      </c>
      <c r="J277" s="7">
        <f>IF('[1]Personale di appoggio'!J278="X",1,0)</f>
        <v>1</v>
      </c>
      <c r="K277" s="7">
        <f>IF('[1]Personale di appoggio'!K278="X",1,0)</f>
        <v>0</v>
      </c>
      <c r="L277" s="7">
        <f>IF('[1]Personale di appoggio'!L278="X",1,0)</f>
        <v>1</v>
      </c>
      <c r="M277" s="7">
        <f>IF('[1]Personale di appoggio'!M278="X",1,0)</f>
        <v>0</v>
      </c>
      <c r="N277" s="3"/>
      <c r="O277" s="3"/>
      <c r="P277" s="11" t="str">
        <f>IF('[1]Personale di appoggio'!$P278="","",'[1]Personale di appoggio'!$P278)</f>
        <v/>
      </c>
      <c r="Q277" s="4" t="s">
        <v>6</v>
      </c>
      <c r="R277" s="4">
        <f t="shared" si="4"/>
        <v>2</v>
      </c>
    </row>
    <row r="278" spans="1:18" ht="42.75" x14ac:dyDescent="0.45">
      <c r="A278" s="9">
        <v>278</v>
      </c>
      <c r="B278" s="2" t="s">
        <v>1522</v>
      </c>
      <c r="C278" s="3" t="s">
        <v>1523</v>
      </c>
      <c r="D278" s="3" t="s">
        <v>547</v>
      </c>
      <c r="E278" s="4">
        <f>IFERROR(INDEX([1]uot!$A$2:$A$40, MATCH("*"&amp;'[1]Personale di appoggio'!$D279&amp;"*", [1]uot!$B$2:$B$40, 0)), "Valore non trovato")</f>
        <v>10</v>
      </c>
      <c r="F278" s="4">
        <f>IF(TRIM('[1]Personale di appoggio'!$F279)=TRIM([1]qualifiche!$E$2),[1]qualifiche!$D$2,
IF(TRIM('[1]Personale di appoggio'!$F279)=TRIM([1]qualifiche!$E$3),[1]qualifiche!$D$3,
IF(TRIM('[1]Personale di appoggio'!$F279)=TRIM([1]qualifiche!$E$4),[1]qualifiche!$D$4,
IF(TRIM('[1]Personale di appoggio'!$F279)=TRIM([1]qualifiche!$E$5),[1]qualifiche!$D$5,
IF(TRIM('[1]Personale di appoggio'!$F279)=TRIM([1]qualifiche!$E$6),[1]qualifiche!$D$6,
IF(TRIM('[1]Personale di appoggio'!$F279)=TRIM([1]qualifiche!$E$7),[1]qualifiche!$D$7,
IF(TRIM('[1]Personale di appoggio'!$F279)=TRIM([1]qualifiche!$E$8),[1]qualifiche!$D$8,
IF(TRIM('[1]Personale di appoggio'!$F279)=TRIM([1]qualifiche!$E$9),[1]qualifiche!$D$9,
IF(TRIM('[1]Personale di appoggio'!$F279)=TRIM([1]qualifiche!$E$10),[1]qualifiche!$D$10,
IF(TRIM('[1]Personale di appoggio'!$F279)=TRIM([1]qualifiche!$E$11),[1]qualifiche!$D$11,""))))))))))</f>
        <v>5</v>
      </c>
      <c r="G278" s="5" t="s">
        <v>1524</v>
      </c>
      <c r="H278" s="5" t="s">
        <v>1525</v>
      </c>
      <c r="I278" s="6" t="s">
        <v>1526</v>
      </c>
      <c r="J278" s="7">
        <f>IF('[1]Personale di appoggio'!J279="X",1,0)</f>
        <v>1</v>
      </c>
      <c r="K278" s="7">
        <f>IF('[1]Personale di appoggio'!K279="X",1,0)</f>
        <v>0</v>
      </c>
      <c r="L278" s="7">
        <f>IF('[1]Personale di appoggio'!L279="X",1,0)</f>
        <v>1</v>
      </c>
      <c r="M278" s="7">
        <f>IF('[1]Personale di appoggio'!M279="X",1,0)</f>
        <v>0</v>
      </c>
      <c r="N278" s="3"/>
      <c r="O278" s="3"/>
      <c r="P278" s="11" t="str">
        <f>IF('[1]Personale di appoggio'!$P279="","",'[1]Personale di appoggio'!$P279)</f>
        <v>PRESSIONE: tarataura valvole-esoneri GPL</v>
      </c>
      <c r="Q278" s="4" t="s">
        <v>6</v>
      </c>
      <c r="R278" s="4">
        <f t="shared" si="4"/>
        <v>2</v>
      </c>
    </row>
    <row r="279" spans="1:18" ht="31.5" x14ac:dyDescent="0.45">
      <c r="A279" s="9">
        <v>279</v>
      </c>
      <c r="B279" s="2" t="s">
        <v>1527</v>
      </c>
      <c r="C279" s="3" t="s">
        <v>1528</v>
      </c>
      <c r="D279" s="3" t="s">
        <v>1529</v>
      </c>
      <c r="E279" s="4">
        <f>IFERROR(INDEX([1]uot!$A$2:$A$40, MATCH("*"&amp;'[1]Personale di appoggio'!$D280&amp;"*", [1]uot!$B$2:$B$40, 0)), "Valore non trovato")</f>
        <v>10</v>
      </c>
      <c r="F279" s="4">
        <f>IF(TRIM('[1]Personale di appoggio'!$F280)=TRIM([1]qualifiche!$E$2),[1]qualifiche!$D$2,
IF(TRIM('[1]Personale di appoggio'!$F280)=TRIM([1]qualifiche!$E$3),[1]qualifiche!$D$3,
IF(TRIM('[1]Personale di appoggio'!$F280)=TRIM([1]qualifiche!$E$4),[1]qualifiche!$D$4,
IF(TRIM('[1]Personale di appoggio'!$F280)=TRIM([1]qualifiche!$E$5),[1]qualifiche!$D$5,
IF(TRIM('[1]Personale di appoggio'!$F280)=TRIM([1]qualifiche!$E$6),[1]qualifiche!$D$6,
IF(TRIM('[1]Personale di appoggio'!$F280)=TRIM([1]qualifiche!$E$7),[1]qualifiche!$D$7,
IF(TRIM('[1]Personale di appoggio'!$F280)=TRIM([1]qualifiche!$E$8),[1]qualifiche!$D$8,
IF(TRIM('[1]Personale di appoggio'!$F280)=TRIM([1]qualifiche!$E$9),[1]qualifiche!$D$9,
IF(TRIM('[1]Personale di appoggio'!$F280)=TRIM([1]qualifiche!$E$10),[1]qualifiche!$D$10,
IF(TRIM('[1]Personale di appoggio'!$F280)=TRIM([1]qualifiche!$E$11),[1]qualifiche!$D$11,""))))))))))</f>
        <v>4</v>
      </c>
      <c r="G279" s="5" t="s">
        <v>1530</v>
      </c>
      <c r="H279" s="5" t="s">
        <v>1531</v>
      </c>
      <c r="I279" s="6" t="s">
        <v>1532</v>
      </c>
      <c r="J279" s="7">
        <f>IF('[1]Personale di appoggio'!J280="X",1,0)</f>
        <v>0</v>
      </c>
      <c r="K279" s="7">
        <f>IF('[1]Personale di appoggio'!K280="X",1,0)</f>
        <v>1</v>
      </c>
      <c r="L279" s="7">
        <f>IF('[1]Personale di appoggio'!L280="X",1,0)</f>
        <v>1</v>
      </c>
      <c r="M279" s="7">
        <f>IF('[1]Personale di appoggio'!M280="X",1,0)</f>
        <v>0</v>
      </c>
      <c r="N279" s="3"/>
      <c r="O279" s="3"/>
      <c r="P279" s="11" t="str">
        <f>IF('[1]Personale di appoggio'!$P280="","",'[1]Personale di appoggio'!$P280)</f>
        <v/>
      </c>
      <c r="Q279" s="4" t="s">
        <v>6</v>
      </c>
      <c r="R279" s="4">
        <f t="shared" si="4"/>
        <v>2</v>
      </c>
    </row>
    <row r="280" spans="1:18" ht="31.5" x14ac:dyDescent="0.45">
      <c r="A280" s="9">
        <v>280</v>
      </c>
      <c r="B280" s="2" t="s">
        <v>1533</v>
      </c>
      <c r="C280" s="3" t="s">
        <v>1534</v>
      </c>
      <c r="D280" s="3" t="s">
        <v>1535</v>
      </c>
      <c r="E280" s="4">
        <f>IFERROR(INDEX([1]uot!$A$2:$A$40, MATCH("*"&amp;'[1]Personale di appoggio'!$D281&amp;"*", [1]uot!$B$2:$B$40, 0)), "Valore non trovato")</f>
        <v>10</v>
      </c>
      <c r="F280" s="4">
        <f>IF(TRIM('[1]Personale di appoggio'!$F281)=TRIM([1]qualifiche!$E$2),[1]qualifiche!$D$2,
IF(TRIM('[1]Personale di appoggio'!$F281)=TRIM([1]qualifiche!$E$3),[1]qualifiche!$D$3,
IF(TRIM('[1]Personale di appoggio'!$F281)=TRIM([1]qualifiche!$E$4),[1]qualifiche!$D$4,
IF(TRIM('[1]Personale di appoggio'!$F281)=TRIM([1]qualifiche!$E$5),[1]qualifiche!$D$5,
IF(TRIM('[1]Personale di appoggio'!$F281)=TRIM([1]qualifiche!$E$6),[1]qualifiche!$D$6,
IF(TRIM('[1]Personale di appoggio'!$F281)=TRIM([1]qualifiche!$E$7),[1]qualifiche!$D$7,
IF(TRIM('[1]Personale di appoggio'!$F281)=TRIM([1]qualifiche!$E$8),[1]qualifiche!$D$8,
IF(TRIM('[1]Personale di appoggio'!$F281)=TRIM([1]qualifiche!$E$9),[1]qualifiche!$D$9,
IF(TRIM('[1]Personale di appoggio'!$F281)=TRIM([1]qualifiche!$E$10),[1]qualifiche!$D$10,
IF(TRIM('[1]Personale di appoggio'!$F281)=TRIM([1]qualifiche!$E$11),[1]qualifiche!$D$11,""))))))))))</f>
        <v>4</v>
      </c>
      <c r="G280" s="5" t="s">
        <v>1536</v>
      </c>
      <c r="H280" s="5" t="s">
        <v>1537</v>
      </c>
      <c r="I280" s="6" t="s">
        <v>1538</v>
      </c>
      <c r="J280" s="7">
        <f>IF('[1]Personale di appoggio'!J281="X",1,0)</f>
        <v>0</v>
      </c>
      <c r="K280" s="7">
        <f>IF('[1]Personale di appoggio'!K281="X",1,0)</f>
        <v>0</v>
      </c>
      <c r="L280" s="7">
        <f>IF('[1]Personale di appoggio'!L281="X",1,0)</f>
        <v>0</v>
      </c>
      <c r="M280" s="7">
        <f>IF('[1]Personale di appoggio'!M281="X",1,0)</f>
        <v>0</v>
      </c>
      <c r="N280" s="3"/>
      <c r="O280" s="3"/>
      <c r="P280" s="11" t="str">
        <f>IF('[1]Personale di appoggio'!$P281="","",'[1]Personale di appoggio'!$P281)</f>
        <v/>
      </c>
      <c r="Q280" s="4" t="s">
        <v>6</v>
      </c>
      <c r="R280" s="4">
        <f t="shared" si="4"/>
        <v>4</v>
      </c>
    </row>
    <row r="281" spans="1:18" ht="47.25" x14ac:dyDescent="0.45">
      <c r="A281" s="9">
        <v>281</v>
      </c>
      <c r="B281" s="2" t="s">
        <v>1539</v>
      </c>
      <c r="C281" s="3" t="s">
        <v>1540</v>
      </c>
      <c r="D281" s="3" t="s">
        <v>1541</v>
      </c>
      <c r="E281" s="4">
        <f>IFERROR(INDEX([1]uot!$A$2:$A$40, MATCH("*"&amp;'[1]Personale di appoggio'!$D282&amp;"*", [1]uot!$B$2:$B$40, 0)), "Valore non trovato")</f>
        <v>10</v>
      </c>
      <c r="F281" s="4">
        <f>IF(TRIM('[1]Personale di appoggio'!$F282)=TRIM([1]qualifiche!$E$2),[1]qualifiche!$D$2,
IF(TRIM('[1]Personale di appoggio'!$F282)=TRIM([1]qualifiche!$E$3),[1]qualifiche!$D$3,
IF(TRIM('[1]Personale di appoggio'!$F282)=TRIM([1]qualifiche!$E$4),[1]qualifiche!$D$4,
IF(TRIM('[1]Personale di appoggio'!$F282)=TRIM([1]qualifiche!$E$5),[1]qualifiche!$D$5,
IF(TRIM('[1]Personale di appoggio'!$F282)=TRIM([1]qualifiche!$E$6),[1]qualifiche!$D$6,
IF(TRIM('[1]Personale di appoggio'!$F282)=TRIM([1]qualifiche!$E$7),[1]qualifiche!$D$7,
IF(TRIM('[1]Personale di appoggio'!$F282)=TRIM([1]qualifiche!$E$8),[1]qualifiche!$D$8,
IF(TRIM('[1]Personale di appoggio'!$F282)=TRIM([1]qualifiche!$E$9),[1]qualifiche!$D$9,
IF(TRIM('[1]Personale di appoggio'!$F282)=TRIM([1]qualifiche!$E$10),[1]qualifiche!$D$10,
IF(TRIM('[1]Personale di appoggio'!$F282)=TRIM([1]qualifiche!$E$11),[1]qualifiche!$D$11,""))))))))))</f>
        <v>4</v>
      </c>
      <c r="G281" s="5" t="s">
        <v>1542</v>
      </c>
      <c r="H281" s="5" t="s">
        <v>1543</v>
      </c>
      <c r="I281" s="8" t="s">
        <v>1544</v>
      </c>
      <c r="J281" s="7">
        <f>IF('[1]Personale di appoggio'!J282="X",1,0)</f>
        <v>1</v>
      </c>
      <c r="K281" s="7">
        <f>IF('[1]Personale di appoggio'!K282="X",1,0)</f>
        <v>0</v>
      </c>
      <c r="L281" s="7">
        <f>IF('[1]Personale di appoggio'!L282="X",1,0)</f>
        <v>1</v>
      </c>
      <c r="M281" s="7">
        <f>IF('[1]Personale di appoggio'!M282="X",1,0)</f>
        <v>0</v>
      </c>
      <c r="N281" s="3"/>
      <c r="O281" s="3"/>
      <c r="P281" s="11" t="str">
        <f>IF('[1]Personale di appoggio'!$P282="","",'[1]Personale di appoggio'!$P282)</f>
        <v/>
      </c>
      <c r="Q281" s="4" t="s">
        <v>6</v>
      </c>
      <c r="R281" s="4">
        <f t="shared" si="4"/>
        <v>2</v>
      </c>
    </row>
    <row r="282" spans="1:18" ht="31.5" x14ac:dyDescent="0.45">
      <c r="A282" s="9">
        <v>282</v>
      </c>
      <c r="B282" s="2" t="s">
        <v>1545</v>
      </c>
      <c r="C282" s="3" t="s">
        <v>1546</v>
      </c>
      <c r="D282" s="3" t="s">
        <v>1547</v>
      </c>
      <c r="E282" s="4">
        <f>IFERROR(INDEX([1]uot!$A$2:$A$40, MATCH("*"&amp;'[1]Personale di appoggio'!$D283&amp;"*", [1]uot!$B$2:$B$40, 0)), "Valore non trovato")</f>
        <v>10</v>
      </c>
      <c r="F282" s="4">
        <f>IF(TRIM('[1]Personale di appoggio'!$F283)=TRIM([1]qualifiche!$E$2),[1]qualifiche!$D$2,
IF(TRIM('[1]Personale di appoggio'!$F283)=TRIM([1]qualifiche!$E$3),[1]qualifiche!$D$3,
IF(TRIM('[1]Personale di appoggio'!$F283)=TRIM([1]qualifiche!$E$4),[1]qualifiche!$D$4,
IF(TRIM('[1]Personale di appoggio'!$F283)=TRIM([1]qualifiche!$E$5),[1]qualifiche!$D$5,
IF(TRIM('[1]Personale di appoggio'!$F283)=TRIM([1]qualifiche!$E$6),[1]qualifiche!$D$6,
IF(TRIM('[1]Personale di appoggio'!$F283)=TRIM([1]qualifiche!$E$7),[1]qualifiche!$D$7,
IF(TRIM('[1]Personale di appoggio'!$F283)=TRIM([1]qualifiche!$E$8),[1]qualifiche!$D$8,
IF(TRIM('[1]Personale di appoggio'!$F283)=TRIM([1]qualifiche!$E$9),[1]qualifiche!$D$9,
IF(TRIM('[1]Personale di appoggio'!$F283)=TRIM([1]qualifiche!$E$10),[1]qualifiche!$D$10,
IF(TRIM('[1]Personale di appoggio'!$F283)=TRIM([1]qualifiche!$E$11),[1]qualifiche!$D$11,""))))))))))</f>
        <v>4</v>
      </c>
      <c r="G282" s="5" t="s">
        <v>1548</v>
      </c>
      <c r="H282" s="5" t="s">
        <v>1549</v>
      </c>
      <c r="I282" s="8" t="s">
        <v>1550</v>
      </c>
      <c r="J282" s="7">
        <f>IF('[1]Personale di appoggio'!J283="X",1,0)</f>
        <v>0</v>
      </c>
      <c r="K282" s="7">
        <f>IF('[1]Personale di appoggio'!K283="X",1,0)</f>
        <v>0</v>
      </c>
      <c r="L282" s="7">
        <f>IF('[1]Personale di appoggio'!L283="X",1,0)</f>
        <v>0</v>
      </c>
      <c r="M282" s="7">
        <f>IF('[1]Personale di appoggio'!M283="X",1,0)</f>
        <v>0</v>
      </c>
      <c r="N282" s="3"/>
      <c r="O282" s="3"/>
      <c r="P282" s="11" t="str">
        <f>IF('[1]Personale di appoggio'!$P283="","",'[1]Personale di appoggio'!$P283)</f>
        <v/>
      </c>
      <c r="Q282" s="4" t="s">
        <v>6</v>
      </c>
      <c r="R282" s="4">
        <f t="shared" si="4"/>
        <v>4</v>
      </c>
    </row>
    <row r="283" spans="1:18" ht="31.5" x14ac:dyDescent="0.45">
      <c r="A283" s="9">
        <v>283</v>
      </c>
      <c r="B283" s="2" t="s">
        <v>1551</v>
      </c>
      <c r="C283" s="3" t="s">
        <v>1552</v>
      </c>
      <c r="D283" s="3" t="s">
        <v>1508</v>
      </c>
      <c r="E283" s="4">
        <f>IFERROR(INDEX([1]uot!$A$2:$A$40, MATCH("*"&amp;'[1]Personale di appoggio'!$D284&amp;"*", [1]uot!$B$2:$B$40, 0)), "Valore non trovato")</f>
        <v>10</v>
      </c>
      <c r="F283" s="4">
        <f>IF(TRIM('[1]Personale di appoggio'!$F284)=TRIM([1]qualifiche!$E$2),[1]qualifiche!$D$2,
IF(TRIM('[1]Personale di appoggio'!$F284)=TRIM([1]qualifiche!$E$3),[1]qualifiche!$D$3,
IF(TRIM('[1]Personale di appoggio'!$F284)=TRIM([1]qualifiche!$E$4),[1]qualifiche!$D$4,
IF(TRIM('[1]Personale di appoggio'!$F284)=TRIM([1]qualifiche!$E$5),[1]qualifiche!$D$5,
IF(TRIM('[1]Personale di appoggio'!$F284)=TRIM([1]qualifiche!$E$6),[1]qualifiche!$D$6,
IF(TRIM('[1]Personale di appoggio'!$F284)=TRIM([1]qualifiche!$E$7),[1]qualifiche!$D$7,
IF(TRIM('[1]Personale di appoggio'!$F284)=TRIM([1]qualifiche!$E$8),[1]qualifiche!$D$8,
IF(TRIM('[1]Personale di appoggio'!$F284)=TRIM([1]qualifiche!$E$9),[1]qualifiche!$D$9,
IF(TRIM('[1]Personale di appoggio'!$F284)=TRIM([1]qualifiche!$E$10),[1]qualifiche!$D$10,
IF(TRIM('[1]Personale di appoggio'!$F284)=TRIM([1]qualifiche!$E$11),[1]qualifiche!$D$11,""))))))))))</f>
        <v>4</v>
      </c>
      <c r="G283" s="5" t="s">
        <v>1553</v>
      </c>
      <c r="H283" s="5" t="s">
        <v>1554</v>
      </c>
      <c r="I283" s="6" t="s">
        <v>1555</v>
      </c>
      <c r="J283" s="7">
        <f>IF('[1]Personale di appoggio'!J284="X",1,0)</f>
        <v>0</v>
      </c>
      <c r="K283" s="7">
        <f>IF('[1]Personale di appoggio'!K284="X",1,0)</f>
        <v>0</v>
      </c>
      <c r="L283" s="7">
        <f>IF('[1]Personale di appoggio'!L284="X",1,0)</f>
        <v>0</v>
      </c>
      <c r="M283" s="7">
        <f>IF('[1]Personale di appoggio'!M284="X",1,0)</f>
        <v>0</v>
      </c>
      <c r="N283" s="3"/>
      <c r="O283" s="3"/>
      <c r="P283" s="11" t="str">
        <f>IF('[1]Personale di appoggio'!$P284="","",'[1]Personale di appoggio'!$P284)</f>
        <v/>
      </c>
      <c r="Q283" s="4" t="s">
        <v>6</v>
      </c>
      <c r="R283" s="4">
        <f t="shared" si="4"/>
        <v>4</v>
      </c>
    </row>
    <row r="284" spans="1:18" ht="31.5" x14ac:dyDescent="0.45">
      <c r="A284" s="9">
        <v>284</v>
      </c>
      <c r="B284" s="2" t="s">
        <v>1556</v>
      </c>
      <c r="C284" s="3" t="s">
        <v>1557</v>
      </c>
      <c r="D284" s="3" t="s">
        <v>39</v>
      </c>
      <c r="E284" s="4">
        <f>IFERROR(INDEX([1]uot!$A$2:$A$40, MATCH("*"&amp;'[1]Personale di appoggio'!$D285&amp;"*", [1]uot!$B$2:$B$40, 0)), "Valore non trovato")</f>
        <v>10</v>
      </c>
      <c r="F284" s="4">
        <f>IF(TRIM('[1]Personale di appoggio'!$F285)=TRIM([1]qualifiche!$E$2),[1]qualifiche!$D$2,
IF(TRIM('[1]Personale di appoggio'!$F285)=TRIM([1]qualifiche!$E$3),[1]qualifiche!$D$3,
IF(TRIM('[1]Personale di appoggio'!$F285)=TRIM([1]qualifiche!$E$4),[1]qualifiche!$D$4,
IF(TRIM('[1]Personale di appoggio'!$F285)=TRIM([1]qualifiche!$E$5),[1]qualifiche!$D$5,
IF(TRIM('[1]Personale di appoggio'!$F285)=TRIM([1]qualifiche!$E$6),[1]qualifiche!$D$6,
IF(TRIM('[1]Personale di appoggio'!$F285)=TRIM([1]qualifiche!$E$7),[1]qualifiche!$D$7,
IF(TRIM('[1]Personale di appoggio'!$F285)=TRIM([1]qualifiche!$E$8),[1]qualifiche!$D$8,
IF(TRIM('[1]Personale di appoggio'!$F285)=TRIM([1]qualifiche!$E$9),[1]qualifiche!$D$9,
IF(TRIM('[1]Personale di appoggio'!$F285)=TRIM([1]qualifiche!$E$10),[1]qualifiche!$D$10,
IF(TRIM('[1]Personale di appoggio'!$F285)=TRIM([1]qualifiche!$E$11),[1]qualifiche!$D$11,""))))))))))</f>
        <v>4</v>
      </c>
      <c r="G284" s="5" t="s">
        <v>1558</v>
      </c>
      <c r="H284" s="5" t="s">
        <v>1559</v>
      </c>
      <c r="I284" s="6" t="s">
        <v>1560</v>
      </c>
      <c r="J284" s="7">
        <f>IF('[1]Personale di appoggio'!J285="X",1,0)</f>
        <v>1</v>
      </c>
      <c r="K284" s="7">
        <f>IF('[1]Personale di appoggio'!K285="X",1,0)</f>
        <v>1</v>
      </c>
      <c r="L284" s="7">
        <f>IF('[1]Personale di appoggio'!L285="X",1,0)</f>
        <v>1</v>
      </c>
      <c r="M284" s="7">
        <f>IF('[1]Personale di appoggio'!M285="X",1,0)</f>
        <v>1</v>
      </c>
      <c r="N284" s="3"/>
      <c r="O284" s="3"/>
      <c r="P284" s="11" t="str">
        <f>IF('[1]Personale di appoggio'!$P285="","",'[1]Personale di appoggio'!$P285)</f>
        <v>PRESSIONE: taratura valvole-bombole-Esoneri GPL</v>
      </c>
      <c r="Q284" s="4" t="s">
        <v>6</v>
      </c>
      <c r="R284" s="4">
        <f t="shared" si="4"/>
        <v>1</v>
      </c>
    </row>
    <row r="285" spans="1:18" ht="31.5" x14ac:dyDescent="0.45">
      <c r="A285" s="9">
        <v>285</v>
      </c>
      <c r="B285" s="2" t="s">
        <v>1561</v>
      </c>
      <c r="C285" s="3" t="s">
        <v>1562</v>
      </c>
      <c r="D285" s="3" t="s">
        <v>547</v>
      </c>
      <c r="E285" s="4">
        <f>IFERROR(INDEX([1]uot!$A$2:$A$40, MATCH("*"&amp;'[1]Personale di appoggio'!$D286&amp;"*", [1]uot!$B$2:$B$40, 0)), "Valore non trovato")</f>
        <v>10</v>
      </c>
      <c r="F285" s="4">
        <f>IF(TRIM('[1]Personale di appoggio'!$F286)=TRIM([1]qualifiche!$E$2),[1]qualifiche!$D$2,
IF(TRIM('[1]Personale di appoggio'!$F286)=TRIM([1]qualifiche!$E$3),[1]qualifiche!$D$3,
IF(TRIM('[1]Personale di appoggio'!$F286)=TRIM([1]qualifiche!$E$4),[1]qualifiche!$D$4,
IF(TRIM('[1]Personale di appoggio'!$F286)=TRIM([1]qualifiche!$E$5),[1]qualifiche!$D$5,
IF(TRIM('[1]Personale di appoggio'!$F286)=TRIM([1]qualifiche!$E$6),[1]qualifiche!$D$6,
IF(TRIM('[1]Personale di appoggio'!$F286)=TRIM([1]qualifiche!$E$7),[1]qualifiche!$D$7,
IF(TRIM('[1]Personale di appoggio'!$F286)=TRIM([1]qualifiche!$E$8),[1]qualifiche!$D$8,
IF(TRIM('[1]Personale di appoggio'!$F286)=TRIM([1]qualifiche!$E$9),[1]qualifiche!$D$9,
IF(TRIM('[1]Personale di appoggio'!$F286)=TRIM([1]qualifiche!$E$10),[1]qualifiche!$D$10,
IF(TRIM('[1]Personale di appoggio'!$F286)=TRIM([1]qualifiche!$E$11),[1]qualifiche!$D$11,""))))))))))</f>
        <v>4</v>
      </c>
      <c r="G285" s="5" t="s">
        <v>1563</v>
      </c>
      <c r="H285" s="5" t="s">
        <v>1564</v>
      </c>
      <c r="I285" s="8" t="s">
        <v>1565</v>
      </c>
      <c r="J285" s="7">
        <f>IF('[1]Personale di appoggio'!J286="X",1,0)</f>
        <v>1</v>
      </c>
      <c r="K285" s="7">
        <f>IF('[1]Personale di appoggio'!K286="X",1,0)</f>
        <v>0</v>
      </c>
      <c r="L285" s="7">
        <f>IF('[1]Personale di appoggio'!L286="X",1,0)</f>
        <v>1</v>
      </c>
      <c r="M285" s="7">
        <f>IF('[1]Personale di appoggio'!M286="X",1,0)</f>
        <v>0</v>
      </c>
      <c r="N285" s="3"/>
      <c r="O285" s="3"/>
      <c r="P285" s="11" t="str">
        <f>IF('[1]Personale di appoggio'!$P286="","",'[1]Personale di appoggio'!$P286)</f>
        <v>PRESSIONE: bombole-tarataura valvole-esoneri GPL</v>
      </c>
      <c r="Q285" s="4" t="s">
        <v>6</v>
      </c>
      <c r="R285" s="4">
        <f t="shared" si="4"/>
        <v>2</v>
      </c>
    </row>
    <row r="286" spans="1:18" ht="31.5" x14ac:dyDescent="0.45">
      <c r="A286" s="9">
        <v>286</v>
      </c>
      <c r="B286" s="2" t="s">
        <v>1566</v>
      </c>
      <c r="C286" s="3" t="s">
        <v>1567</v>
      </c>
      <c r="D286" s="3" t="s">
        <v>1012</v>
      </c>
      <c r="E286" s="4">
        <f>IFERROR(INDEX([1]uot!$A$2:$A$40, MATCH("*"&amp;'[1]Personale di appoggio'!$D287&amp;"*", [1]uot!$B$2:$B$40, 0)), "Valore non trovato")</f>
        <v>10</v>
      </c>
      <c r="F286" s="4">
        <f>IF(TRIM('[1]Personale di appoggio'!$F287)=TRIM([1]qualifiche!$E$2),[1]qualifiche!$D$2,
IF(TRIM('[1]Personale di appoggio'!$F287)=TRIM([1]qualifiche!$E$3),[1]qualifiche!$D$3,
IF(TRIM('[1]Personale di appoggio'!$F287)=TRIM([1]qualifiche!$E$4),[1]qualifiche!$D$4,
IF(TRIM('[1]Personale di appoggio'!$F287)=TRIM([1]qualifiche!$E$5),[1]qualifiche!$D$5,
IF(TRIM('[1]Personale di appoggio'!$F287)=TRIM([1]qualifiche!$E$6),[1]qualifiche!$D$6,
IF(TRIM('[1]Personale di appoggio'!$F287)=TRIM([1]qualifiche!$E$7),[1]qualifiche!$D$7,
IF(TRIM('[1]Personale di appoggio'!$F287)=TRIM([1]qualifiche!$E$8),[1]qualifiche!$D$8,
IF(TRIM('[1]Personale di appoggio'!$F287)=TRIM([1]qualifiche!$E$9),[1]qualifiche!$D$9,
IF(TRIM('[1]Personale di appoggio'!$F287)=TRIM([1]qualifiche!$E$10),[1]qualifiche!$D$10,
IF(TRIM('[1]Personale di appoggio'!$F287)=TRIM([1]qualifiche!$E$11),[1]qualifiche!$D$11,""))))))))))</f>
        <v>4</v>
      </c>
      <c r="G286" s="5" t="s">
        <v>1568</v>
      </c>
      <c r="H286" s="5" t="s">
        <v>1569</v>
      </c>
      <c r="I286" s="6" t="s">
        <v>1570</v>
      </c>
      <c r="J286" s="7">
        <f>IF('[1]Personale di appoggio'!J287="X",1,0)</f>
        <v>0</v>
      </c>
      <c r="K286" s="7">
        <f>IF('[1]Personale di appoggio'!K287="X",1,0)</f>
        <v>0</v>
      </c>
      <c r="L286" s="7">
        <f>IF('[1]Personale di appoggio'!L287="X",1,0)</f>
        <v>0</v>
      </c>
      <c r="M286" s="7">
        <f>IF('[1]Personale di appoggio'!M287="X",1,0)</f>
        <v>0</v>
      </c>
      <c r="N286" s="3"/>
      <c r="O286" s="3"/>
      <c r="P286" s="11" t="str">
        <f>IF('[1]Personale di appoggio'!$P287="","",'[1]Personale di appoggio'!$P287)</f>
        <v/>
      </c>
      <c r="Q286" s="4" t="s">
        <v>6</v>
      </c>
      <c r="R286" s="4">
        <f t="shared" si="4"/>
        <v>4</v>
      </c>
    </row>
    <row r="287" spans="1:18" ht="31.5" x14ac:dyDescent="0.45">
      <c r="A287" s="9">
        <v>287</v>
      </c>
      <c r="B287" s="2" t="s">
        <v>1571</v>
      </c>
      <c r="C287" s="3" t="s">
        <v>124</v>
      </c>
      <c r="D287" s="3" t="s">
        <v>256</v>
      </c>
      <c r="E287" s="4">
        <f>IFERROR(INDEX([1]uot!$A$2:$A$40, MATCH("*"&amp;'[1]Personale di appoggio'!$D288&amp;"*", [1]uot!$B$2:$B$40, 0)), "Valore non trovato")</f>
        <v>10</v>
      </c>
      <c r="F287" s="4">
        <f>IF(TRIM('[1]Personale di appoggio'!$F288)=TRIM([1]qualifiche!$E$2),[1]qualifiche!$D$2,
IF(TRIM('[1]Personale di appoggio'!$F288)=TRIM([1]qualifiche!$E$3),[1]qualifiche!$D$3,
IF(TRIM('[1]Personale di appoggio'!$F288)=TRIM([1]qualifiche!$E$4),[1]qualifiche!$D$4,
IF(TRIM('[1]Personale di appoggio'!$F288)=TRIM([1]qualifiche!$E$5),[1]qualifiche!$D$5,
IF(TRIM('[1]Personale di appoggio'!$F288)=TRIM([1]qualifiche!$E$6),[1]qualifiche!$D$6,
IF(TRIM('[1]Personale di appoggio'!$F288)=TRIM([1]qualifiche!$E$7),[1]qualifiche!$D$7,
IF(TRIM('[1]Personale di appoggio'!$F288)=TRIM([1]qualifiche!$E$8),[1]qualifiche!$D$8,
IF(TRIM('[1]Personale di appoggio'!$F288)=TRIM([1]qualifiche!$E$9),[1]qualifiche!$D$9,
IF(TRIM('[1]Personale di appoggio'!$F288)=TRIM([1]qualifiche!$E$10),[1]qualifiche!$D$10,
IF(TRIM('[1]Personale di appoggio'!$F288)=TRIM([1]qualifiche!$E$11),[1]qualifiche!$D$11,""))))))))))</f>
        <v>6</v>
      </c>
      <c r="G287" s="5" t="s">
        <v>1572</v>
      </c>
      <c r="H287" s="5"/>
      <c r="I287" s="8" t="s">
        <v>1573</v>
      </c>
      <c r="J287" s="7">
        <f>IF('[1]Personale di appoggio'!J288="X",1,0)</f>
        <v>0</v>
      </c>
      <c r="K287" s="7">
        <f>IF('[1]Personale di appoggio'!K288="X",1,0)</f>
        <v>0</v>
      </c>
      <c r="L287" s="7">
        <f>IF('[1]Personale di appoggio'!L288="X",1,0)</f>
        <v>0</v>
      </c>
      <c r="M287" s="7">
        <f>IF('[1]Personale di appoggio'!M288="X",1,0)</f>
        <v>0</v>
      </c>
      <c r="N287" s="3"/>
      <c r="O287" s="3"/>
      <c r="P287" s="11" t="str">
        <f>IF('[1]Personale di appoggio'!$P288="","",'[1]Personale di appoggio'!$P288)</f>
        <v/>
      </c>
      <c r="Q287" s="4" t="s">
        <v>6</v>
      </c>
      <c r="R287" s="4">
        <f t="shared" si="4"/>
        <v>4</v>
      </c>
    </row>
    <row r="288" spans="1:18" ht="31.5" x14ac:dyDescent="0.45">
      <c r="A288" s="9">
        <v>288</v>
      </c>
      <c r="B288" s="2" t="s">
        <v>1574</v>
      </c>
      <c r="C288" s="3" t="s">
        <v>1575</v>
      </c>
      <c r="D288" s="3" t="s">
        <v>595</v>
      </c>
      <c r="E288" s="4">
        <f>IFERROR(INDEX([1]uot!$A$2:$A$40, MATCH("*"&amp;'[1]Personale di appoggio'!$D289&amp;"*", [1]uot!$B$2:$B$40, 0)), "Valore non trovato")</f>
        <v>10</v>
      </c>
      <c r="F288" s="4">
        <f>IF(TRIM('[1]Personale di appoggio'!$F289)=TRIM([1]qualifiche!$E$2),[1]qualifiche!$D$2,
IF(TRIM('[1]Personale di appoggio'!$F289)=TRIM([1]qualifiche!$E$3),[1]qualifiche!$D$3,
IF(TRIM('[1]Personale di appoggio'!$F289)=TRIM([1]qualifiche!$E$4),[1]qualifiche!$D$4,
IF(TRIM('[1]Personale di appoggio'!$F289)=TRIM([1]qualifiche!$E$5),[1]qualifiche!$D$5,
IF(TRIM('[1]Personale di appoggio'!$F289)=TRIM([1]qualifiche!$E$6),[1]qualifiche!$D$6,
IF(TRIM('[1]Personale di appoggio'!$F289)=TRIM([1]qualifiche!$E$7),[1]qualifiche!$D$7,
IF(TRIM('[1]Personale di appoggio'!$F289)=TRIM([1]qualifiche!$E$8),[1]qualifiche!$D$8,
IF(TRIM('[1]Personale di appoggio'!$F289)=TRIM([1]qualifiche!$E$9),[1]qualifiche!$D$9,
IF(TRIM('[1]Personale di appoggio'!$F289)=TRIM([1]qualifiche!$E$10),[1]qualifiche!$D$10,
IF(TRIM('[1]Personale di appoggio'!$F289)=TRIM([1]qualifiche!$E$11),[1]qualifiche!$D$11,""))))))))))</f>
        <v>6</v>
      </c>
      <c r="G288" s="5" t="s">
        <v>1576</v>
      </c>
      <c r="H288" s="5" t="s">
        <v>1577</v>
      </c>
      <c r="I288" s="6" t="s">
        <v>1578</v>
      </c>
      <c r="J288" s="7">
        <f>IF('[1]Personale di appoggio'!J289="X",1,0)</f>
        <v>0</v>
      </c>
      <c r="K288" s="7">
        <f>IF('[1]Personale di appoggio'!K289="X",1,0)</f>
        <v>0</v>
      </c>
      <c r="L288" s="7">
        <f>IF('[1]Personale di appoggio'!L289="X",1,0)</f>
        <v>0</v>
      </c>
      <c r="M288" s="7">
        <f>IF('[1]Personale di appoggio'!M289="X",1,0)</f>
        <v>0</v>
      </c>
      <c r="N288" s="3"/>
      <c r="O288" s="3"/>
      <c r="P288" s="11" t="str">
        <f>IF('[1]Personale di appoggio'!$P289="","",'[1]Personale di appoggio'!$P289)</f>
        <v/>
      </c>
      <c r="Q288" s="4" t="s">
        <v>6</v>
      </c>
      <c r="R288" s="4">
        <f t="shared" si="4"/>
        <v>4</v>
      </c>
    </row>
    <row r="289" spans="1:18" ht="31.5" x14ac:dyDescent="0.45">
      <c r="A289" s="9">
        <v>289</v>
      </c>
      <c r="B289" s="2" t="s">
        <v>1579</v>
      </c>
      <c r="C289" s="3" t="s">
        <v>1580</v>
      </c>
      <c r="D289" s="3" t="s">
        <v>1581</v>
      </c>
      <c r="E289" s="4">
        <f>IFERROR(INDEX([1]uot!$A$2:$A$40, MATCH("*"&amp;'[1]Personale di appoggio'!$D290&amp;"*", [1]uot!$B$2:$B$40, 0)), "Valore non trovato")</f>
        <v>10</v>
      </c>
      <c r="F289" s="4">
        <f>IF(TRIM('[1]Personale di appoggio'!$F290)=TRIM([1]qualifiche!$E$2),[1]qualifiche!$D$2,
IF(TRIM('[1]Personale di appoggio'!$F290)=TRIM([1]qualifiche!$E$3),[1]qualifiche!$D$3,
IF(TRIM('[1]Personale di appoggio'!$F290)=TRIM([1]qualifiche!$E$4),[1]qualifiche!$D$4,
IF(TRIM('[1]Personale di appoggio'!$F290)=TRIM([1]qualifiche!$E$5),[1]qualifiche!$D$5,
IF(TRIM('[1]Personale di appoggio'!$F290)=TRIM([1]qualifiche!$E$6),[1]qualifiche!$D$6,
IF(TRIM('[1]Personale di appoggio'!$F290)=TRIM([1]qualifiche!$E$7),[1]qualifiche!$D$7,
IF(TRIM('[1]Personale di appoggio'!$F290)=TRIM([1]qualifiche!$E$8),[1]qualifiche!$D$8,
IF(TRIM('[1]Personale di appoggio'!$F290)=TRIM([1]qualifiche!$E$9),[1]qualifiche!$D$9,
IF(TRIM('[1]Personale di appoggio'!$F290)=TRIM([1]qualifiche!$E$10),[1]qualifiche!$D$10,
IF(TRIM('[1]Personale di appoggio'!$F290)=TRIM([1]qualifiche!$E$11),[1]qualifiche!$D$11,""))))))))))</f>
        <v>7</v>
      </c>
      <c r="G289" s="5" t="s">
        <v>1582</v>
      </c>
      <c r="H289" s="5" t="s">
        <v>1583</v>
      </c>
      <c r="I289" s="6" t="s">
        <v>1584</v>
      </c>
      <c r="J289" s="7">
        <f>IF('[1]Personale di appoggio'!J290="X",1,0)</f>
        <v>0</v>
      </c>
      <c r="K289" s="7">
        <f>IF('[1]Personale di appoggio'!K290="X",1,0)</f>
        <v>0</v>
      </c>
      <c r="L289" s="7">
        <f>IF('[1]Personale di appoggio'!L290="X",1,0)</f>
        <v>0</v>
      </c>
      <c r="M289" s="7">
        <f>IF('[1]Personale di appoggio'!M290="X",1,0)</f>
        <v>0</v>
      </c>
      <c r="N289" s="3"/>
      <c r="O289" s="3"/>
      <c r="P289" s="11" t="str">
        <f>IF('[1]Personale di appoggio'!$P290="","",'[1]Personale di appoggio'!$P290)</f>
        <v/>
      </c>
      <c r="Q289" s="4" t="s">
        <v>6</v>
      </c>
      <c r="R289" s="4">
        <f t="shared" si="4"/>
        <v>4</v>
      </c>
    </row>
    <row r="290" spans="1:18" ht="47.25" x14ac:dyDescent="0.45">
      <c r="A290" s="9">
        <v>290</v>
      </c>
      <c r="B290" s="2" t="s">
        <v>1585</v>
      </c>
      <c r="C290" s="3" t="s">
        <v>1586</v>
      </c>
      <c r="D290" s="3" t="s">
        <v>1587</v>
      </c>
      <c r="E290" s="4">
        <f>IFERROR(INDEX([1]uot!$A$2:$A$40, MATCH("*"&amp;'[1]Personale di appoggio'!$D291&amp;"*", [1]uot!$B$2:$B$40, 0)), "Valore non trovato")</f>
        <v>10</v>
      </c>
      <c r="F290" s="4">
        <f>IF(TRIM('[1]Personale di appoggio'!$F291)=TRIM([1]qualifiche!$E$2),[1]qualifiche!$D$2,
IF(TRIM('[1]Personale di appoggio'!$F291)=TRIM([1]qualifiche!$E$3),[1]qualifiche!$D$3,
IF(TRIM('[1]Personale di appoggio'!$F291)=TRIM([1]qualifiche!$E$4),[1]qualifiche!$D$4,
IF(TRIM('[1]Personale di appoggio'!$F291)=TRIM([1]qualifiche!$E$5),[1]qualifiche!$D$5,
IF(TRIM('[1]Personale di appoggio'!$F291)=TRIM([1]qualifiche!$E$6),[1]qualifiche!$D$6,
IF(TRIM('[1]Personale di appoggio'!$F291)=TRIM([1]qualifiche!$E$7),[1]qualifiche!$D$7,
IF(TRIM('[1]Personale di appoggio'!$F291)=TRIM([1]qualifiche!$E$8),[1]qualifiche!$D$8,
IF(TRIM('[1]Personale di appoggio'!$F291)=TRIM([1]qualifiche!$E$9),[1]qualifiche!$D$9,
IF(TRIM('[1]Personale di appoggio'!$F291)=TRIM([1]qualifiche!$E$10),[1]qualifiche!$D$10,
IF(TRIM('[1]Personale di appoggio'!$F291)=TRIM([1]qualifiche!$E$11),[1]qualifiche!$D$11,""))))))))))</f>
        <v>7</v>
      </c>
      <c r="G290" s="5" t="s">
        <v>1588</v>
      </c>
      <c r="H290" s="5" t="s">
        <v>1589</v>
      </c>
      <c r="I290" s="8" t="s">
        <v>1590</v>
      </c>
      <c r="J290" s="7">
        <f>IF('[1]Personale di appoggio'!J291="X",1,0)</f>
        <v>0</v>
      </c>
      <c r="K290" s="7">
        <f>IF('[1]Personale di appoggio'!K291="X",1,0)</f>
        <v>0</v>
      </c>
      <c r="L290" s="7">
        <f>IF('[1]Personale di appoggio'!L291="X",1,0)</f>
        <v>0</v>
      </c>
      <c r="M290" s="7">
        <f>IF('[1]Personale di appoggio'!M291="X",1,0)</f>
        <v>0</v>
      </c>
      <c r="N290" s="3"/>
      <c r="O290" s="3"/>
      <c r="P290" s="11" t="str">
        <f>IF('[1]Personale di appoggio'!$P291="","",'[1]Personale di appoggio'!$P291)</f>
        <v/>
      </c>
      <c r="Q290" s="4" t="s">
        <v>6</v>
      </c>
      <c r="R290" s="4">
        <f t="shared" si="4"/>
        <v>4</v>
      </c>
    </row>
    <row r="291" spans="1:18" ht="31.5" x14ac:dyDescent="0.45">
      <c r="A291" s="9">
        <v>291</v>
      </c>
      <c r="B291" s="2" t="s">
        <v>1591</v>
      </c>
      <c r="C291" s="3" t="s">
        <v>1592</v>
      </c>
      <c r="D291" s="3" t="s">
        <v>1593</v>
      </c>
      <c r="E291" s="4">
        <f>IFERROR(INDEX([1]uot!$A$2:$A$40, MATCH("*"&amp;'[1]Personale di appoggio'!$D292&amp;"*", [1]uot!$B$2:$B$40, 0)), "Valore non trovato")</f>
        <v>10</v>
      </c>
      <c r="F291" s="4">
        <f>IF(TRIM('[1]Personale di appoggio'!$F292)=TRIM([1]qualifiche!$E$2),[1]qualifiche!$D$2,
IF(TRIM('[1]Personale di appoggio'!$F292)=TRIM([1]qualifiche!$E$3),[1]qualifiche!$D$3,
IF(TRIM('[1]Personale di appoggio'!$F292)=TRIM([1]qualifiche!$E$4),[1]qualifiche!$D$4,
IF(TRIM('[1]Personale di appoggio'!$F292)=TRIM([1]qualifiche!$E$5),[1]qualifiche!$D$5,
IF(TRIM('[1]Personale di appoggio'!$F292)=TRIM([1]qualifiche!$E$6),[1]qualifiche!$D$6,
IF(TRIM('[1]Personale di appoggio'!$F292)=TRIM([1]qualifiche!$E$7),[1]qualifiche!$D$7,
IF(TRIM('[1]Personale di appoggio'!$F292)=TRIM([1]qualifiche!$E$8),[1]qualifiche!$D$8,
IF(TRIM('[1]Personale di appoggio'!$F292)=TRIM([1]qualifiche!$E$9),[1]qualifiche!$D$9,
IF(TRIM('[1]Personale di appoggio'!$F292)=TRIM([1]qualifiche!$E$10),[1]qualifiche!$D$10,
IF(TRIM('[1]Personale di appoggio'!$F292)=TRIM([1]qualifiche!$E$11),[1]qualifiche!$D$11,""))))))))))</f>
        <v>7</v>
      </c>
      <c r="G291" s="5" t="s">
        <v>1594</v>
      </c>
      <c r="H291" s="5" t="s">
        <v>1595</v>
      </c>
      <c r="I291" s="8" t="s">
        <v>1596</v>
      </c>
      <c r="J291" s="7">
        <f>IF('[1]Personale di appoggio'!J292="X",1,0)</f>
        <v>0</v>
      </c>
      <c r="K291" s="7">
        <f>IF('[1]Personale di appoggio'!K292="X",1,0)</f>
        <v>0</v>
      </c>
      <c r="L291" s="7">
        <f>IF('[1]Personale di appoggio'!L292="X",1,0)</f>
        <v>0</v>
      </c>
      <c r="M291" s="7">
        <f>IF('[1]Personale di appoggio'!M292="X",1,0)</f>
        <v>0</v>
      </c>
      <c r="N291" s="3"/>
      <c r="O291" s="3"/>
      <c r="P291" s="11" t="str">
        <f>IF('[1]Personale di appoggio'!$P292="","",'[1]Personale di appoggio'!$P292)</f>
        <v/>
      </c>
      <c r="Q291" s="4" t="s">
        <v>6</v>
      </c>
      <c r="R291" s="4">
        <f t="shared" si="4"/>
        <v>4</v>
      </c>
    </row>
    <row r="292" spans="1:18" ht="31.5" x14ac:dyDescent="0.45">
      <c r="A292" s="9">
        <v>292</v>
      </c>
      <c r="B292" s="2" t="s">
        <v>1597</v>
      </c>
      <c r="C292" s="3" t="s">
        <v>1598</v>
      </c>
      <c r="D292" s="3" t="s">
        <v>1599</v>
      </c>
      <c r="E292" s="4">
        <f>IFERROR(INDEX([1]uot!$A$2:$A$40, MATCH("*"&amp;'[1]Personale di appoggio'!$D293&amp;"*", [1]uot!$B$2:$B$40, 0)), "Valore non trovato")</f>
        <v>10</v>
      </c>
      <c r="F292" s="4">
        <f>IF(TRIM('[1]Personale di appoggio'!$F293)=TRIM([1]qualifiche!$E$2),[1]qualifiche!$D$2,
IF(TRIM('[1]Personale di appoggio'!$F293)=TRIM([1]qualifiche!$E$3),[1]qualifiche!$D$3,
IF(TRIM('[1]Personale di appoggio'!$F293)=TRIM([1]qualifiche!$E$4),[1]qualifiche!$D$4,
IF(TRIM('[1]Personale di appoggio'!$F293)=TRIM([1]qualifiche!$E$5),[1]qualifiche!$D$5,
IF(TRIM('[1]Personale di appoggio'!$F293)=TRIM([1]qualifiche!$E$6),[1]qualifiche!$D$6,
IF(TRIM('[1]Personale di appoggio'!$F293)=TRIM([1]qualifiche!$E$7),[1]qualifiche!$D$7,
IF(TRIM('[1]Personale di appoggio'!$F293)=TRIM([1]qualifiche!$E$8),[1]qualifiche!$D$8,
IF(TRIM('[1]Personale di appoggio'!$F293)=TRIM([1]qualifiche!$E$9),[1]qualifiche!$D$9,
IF(TRIM('[1]Personale di appoggio'!$F293)=TRIM([1]qualifiche!$E$10),[1]qualifiche!$D$10,
IF(TRIM('[1]Personale di appoggio'!$F293)=TRIM([1]qualifiche!$E$11),[1]qualifiche!$D$11,""))))))))))</f>
        <v>7</v>
      </c>
      <c r="G292" s="5" t="s">
        <v>1600</v>
      </c>
      <c r="H292" s="5" t="s">
        <v>1601</v>
      </c>
      <c r="I292" s="6" t="s">
        <v>1602</v>
      </c>
      <c r="J292" s="7">
        <f>IF('[1]Personale di appoggio'!J293="X",1,0)</f>
        <v>0</v>
      </c>
      <c r="K292" s="7">
        <f>IF('[1]Personale di appoggio'!K293="X",1,0)</f>
        <v>0</v>
      </c>
      <c r="L292" s="7">
        <f>IF('[1]Personale di appoggio'!L293="X",1,0)</f>
        <v>0</v>
      </c>
      <c r="M292" s="7">
        <f>IF('[1]Personale di appoggio'!M293="X",1,0)</f>
        <v>0</v>
      </c>
      <c r="N292" s="3"/>
      <c r="O292" s="3"/>
      <c r="P292" s="11" t="str">
        <f>IF('[1]Personale di appoggio'!$P293="","",'[1]Personale di appoggio'!$P293)</f>
        <v/>
      </c>
      <c r="Q292" s="4" t="s">
        <v>6</v>
      </c>
      <c r="R292" s="4">
        <f t="shared" si="4"/>
        <v>4</v>
      </c>
    </row>
    <row r="293" spans="1:18" ht="47.25" x14ac:dyDescent="0.45">
      <c r="A293" s="9">
        <v>293</v>
      </c>
      <c r="B293" s="2" t="s">
        <v>1603</v>
      </c>
      <c r="C293" s="3" t="s">
        <v>1604</v>
      </c>
      <c r="D293" s="3" t="s">
        <v>63</v>
      </c>
      <c r="E293" s="4">
        <f>IFERROR(INDEX([1]uot!$A$2:$A$40, MATCH("*"&amp;'[1]Personale di appoggio'!$D294&amp;"*", [1]uot!$B$2:$B$40, 0)), "Valore non trovato")</f>
        <v>10</v>
      </c>
      <c r="F293" s="4">
        <f>IF(TRIM('[1]Personale di appoggio'!$F294)=TRIM([1]qualifiche!$E$2),[1]qualifiche!$D$2,
IF(TRIM('[1]Personale di appoggio'!$F294)=TRIM([1]qualifiche!$E$3),[1]qualifiche!$D$3,
IF(TRIM('[1]Personale di appoggio'!$F294)=TRIM([1]qualifiche!$E$4),[1]qualifiche!$D$4,
IF(TRIM('[1]Personale di appoggio'!$F294)=TRIM([1]qualifiche!$E$5),[1]qualifiche!$D$5,
IF(TRIM('[1]Personale di appoggio'!$F294)=TRIM([1]qualifiche!$E$6),[1]qualifiche!$D$6,
IF(TRIM('[1]Personale di appoggio'!$F294)=TRIM([1]qualifiche!$E$7),[1]qualifiche!$D$7,
IF(TRIM('[1]Personale di appoggio'!$F294)=TRIM([1]qualifiche!$E$8),[1]qualifiche!$D$8,
IF(TRIM('[1]Personale di appoggio'!$F294)=TRIM([1]qualifiche!$E$9),[1]qualifiche!$D$9,
IF(TRIM('[1]Personale di appoggio'!$F294)=TRIM([1]qualifiche!$E$10),[1]qualifiche!$D$10,
IF(TRIM('[1]Personale di appoggio'!$F294)=TRIM([1]qualifiche!$E$11),[1]qualifiche!$D$11,""))))))))))</f>
        <v>7</v>
      </c>
      <c r="G293" s="5" t="s">
        <v>1605</v>
      </c>
      <c r="H293" s="5" t="s">
        <v>1606</v>
      </c>
      <c r="I293" s="8" t="s">
        <v>1607</v>
      </c>
      <c r="J293" s="7">
        <f>IF('[1]Personale di appoggio'!J294="X",1,0)</f>
        <v>0</v>
      </c>
      <c r="K293" s="7">
        <f>IF('[1]Personale di appoggio'!K294="X",1,0)</f>
        <v>0</v>
      </c>
      <c r="L293" s="7">
        <f>IF('[1]Personale di appoggio'!L294="X",1,0)</f>
        <v>0</v>
      </c>
      <c r="M293" s="7">
        <f>IF('[1]Personale di appoggio'!M294="X",1,0)</f>
        <v>0</v>
      </c>
      <c r="N293" s="3"/>
      <c r="O293" s="3"/>
      <c r="P293" s="11" t="str">
        <f>IF('[1]Personale di appoggio'!$P294="","",'[1]Personale di appoggio'!$P294)</f>
        <v/>
      </c>
      <c r="Q293" s="4" t="s">
        <v>6</v>
      </c>
      <c r="R293" s="4">
        <f t="shared" si="4"/>
        <v>4</v>
      </c>
    </row>
    <row r="294" spans="1:18" ht="31.5" x14ac:dyDescent="0.45">
      <c r="A294" s="9">
        <v>294</v>
      </c>
      <c r="B294" s="2" t="s">
        <v>1608</v>
      </c>
      <c r="C294" s="3" t="s">
        <v>1609</v>
      </c>
      <c r="D294" s="3" t="s">
        <v>595</v>
      </c>
      <c r="E294" s="4">
        <f>IFERROR(INDEX([1]uot!$A$2:$A$40, MATCH("*"&amp;'[1]Personale di appoggio'!$D295&amp;"*", [1]uot!$B$2:$B$40, 0)), "Valore non trovato")</f>
        <v>10</v>
      </c>
      <c r="F294" s="4">
        <f>IF(TRIM('[1]Personale di appoggio'!$F295)=TRIM([1]qualifiche!$E$2),[1]qualifiche!$D$2,
IF(TRIM('[1]Personale di appoggio'!$F295)=TRIM([1]qualifiche!$E$3),[1]qualifiche!$D$3,
IF(TRIM('[1]Personale di appoggio'!$F295)=TRIM([1]qualifiche!$E$4),[1]qualifiche!$D$4,
IF(TRIM('[1]Personale di appoggio'!$F295)=TRIM([1]qualifiche!$E$5),[1]qualifiche!$D$5,
IF(TRIM('[1]Personale di appoggio'!$F295)=TRIM([1]qualifiche!$E$6),[1]qualifiche!$D$6,
IF(TRIM('[1]Personale di appoggio'!$F295)=TRIM([1]qualifiche!$E$7),[1]qualifiche!$D$7,
IF(TRIM('[1]Personale di appoggio'!$F295)=TRIM([1]qualifiche!$E$8),[1]qualifiche!$D$8,
IF(TRIM('[1]Personale di appoggio'!$F295)=TRIM([1]qualifiche!$E$9),[1]qualifiche!$D$9,
IF(TRIM('[1]Personale di appoggio'!$F295)=TRIM([1]qualifiche!$E$10),[1]qualifiche!$D$10,
IF(TRIM('[1]Personale di appoggio'!$F295)=TRIM([1]qualifiche!$E$11),[1]qualifiche!$D$11,""))))))))))</f>
        <v>7</v>
      </c>
      <c r="G294" s="5" t="s">
        <v>1610</v>
      </c>
      <c r="H294" s="5" t="s">
        <v>1611</v>
      </c>
      <c r="I294" s="8" t="s">
        <v>1612</v>
      </c>
      <c r="J294" s="7">
        <f>IF('[1]Personale di appoggio'!J295="X",1,0)</f>
        <v>0</v>
      </c>
      <c r="K294" s="7">
        <f>IF('[1]Personale di appoggio'!K295="X",1,0)</f>
        <v>0</v>
      </c>
      <c r="L294" s="7">
        <f>IF('[1]Personale di appoggio'!L295="X",1,0)</f>
        <v>0</v>
      </c>
      <c r="M294" s="7">
        <f>IF('[1]Personale di appoggio'!M295="X",1,0)</f>
        <v>0</v>
      </c>
      <c r="N294" s="3"/>
      <c r="O294" s="3"/>
      <c r="P294" s="11" t="str">
        <f>IF('[1]Personale di appoggio'!$P295="","",'[1]Personale di appoggio'!$P295)</f>
        <v/>
      </c>
      <c r="Q294" s="4" t="s">
        <v>6</v>
      </c>
      <c r="R294" s="4">
        <f t="shared" si="4"/>
        <v>4</v>
      </c>
    </row>
    <row r="295" spans="1:18" ht="31.5" x14ac:dyDescent="0.45">
      <c r="A295" s="9">
        <v>295</v>
      </c>
      <c r="B295" s="2" t="s">
        <v>1613</v>
      </c>
      <c r="C295" s="3" t="s">
        <v>1614</v>
      </c>
      <c r="D295" s="3" t="s">
        <v>140</v>
      </c>
      <c r="E295" s="4">
        <f>IFERROR(INDEX([1]uot!$A$2:$A$40, MATCH("*"&amp;'[1]Personale di appoggio'!$D296&amp;"*", [1]uot!$B$2:$B$40, 0)), "Valore non trovato")</f>
        <v>10</v>
      </c>
      <c r="F295" s="4">
        <f>IF(TRIM('[1]Personale di appoggio'!$F296)=TRIM([1]qualifiche!$E$2),[1]qualifiche!$D$2,
IF(TRIM('[1]Personale di appoggio'!$F296)=TRIM([1]qualifiche!$E$3),[1]qualifiche!$D$3,
IF(TRIM('[1]Personale di appoggio'!$F296)=TRIM([1]qualifiche!$E$4),[1]qualifiche!$D$4,
IF(TRIM('[1]Personale di appoggio'!$F296)=TRIM([1]qualifiche!$E$5),[1]qualifiche!$D$5,
IF(TRIM('[1]Personale di appoggio'!$F296)=TRIM([1]qualifiche!$E$6),[1]qualifiche!$D$6,
IF(TRIM('[1]Personale di appoggio'!$F296)=TRIM([1]qualifiche!$E$7),[1]qualifiche!$D$7,
IF(TRIM('[1]Personale di appoggio'!$F296)=TRIM([1]qualifiche!$E$8),[1]qualifiche!$D$8,
IF(TRIM('[1]Personale di appoggio'!$F296)=TRIM([1]qualifiche!$E$9),[1]qualifiche!$D$9,
IF(TRIM('[1]Personale di appoggio'!$F296)=TRIM([1]qualifiche!$E$10),[1]qualifiche!$D$10,
IF(TRIM('[1]Personale di appoggio'!$F296)=TRIM([1]qualifiche!$E$11),[1]qualifiche!$D$11,""))))))))))</f>
        <v>7</v>
      </c>
      <c r="G295" s="5" t="s">
        <v>1615</v>
      </c>
      <c r="H295" s="5" t="s">
        <v>1616</v>
      </c>
      <c r="I295" s="8" t="s">
        <v>1617</v>
      </c>
      <c r="J295" s="7">
        <f>IF('[1]Personale di appoggio'!J296="X",1,0)</f>
        <v>0</v>
      </c>
      <c r="K295" s="7">
        <f>IF('[1]Personale di appoggio'!K296="X",1,0)</f>
        <v>0</v>
      </c>
      <c r="L295" s="7">
        <f>IF('[1]Personale di appoggio'!L296="X",1,0)</f>
        <v>0</v>
      </c>
      <c r="M295" s="7">
        <f>IF('[1]Personale di appoggio'!M296="X",1,0)</f>
        <v>0</v>
      </c>
      <c r="N295" s="3"/>
      <c r="O295" s="3"/>
      <c r="P295" s="11" t="str">
        <f>IF('[1]Personale di appoggio'!$P296="","",'[1]Personale di appoggio'!$P296)</f>
        <v/>
      </c>
      <c r="Q295" s="4" t="s">
        <v>6</v>
      </c>
      <c r="R295" s="4">
        <f t="shared" si="4"/>
        <v>4</v>
      </c>
    </row>
    <row r="296" spans="1:18" ht="31.5" x14ac:dyDescent="0.45">
      <c r="A296" s="9">
        <v>296</v>
      </c>
      <c r="B296" s="2" t="s">
        <v>1618</v>
      </c>
      <c r="C296" s="3" t="s">
        <v>1619</v>
      </c>
      <c r="D296" s="3" t="s">
        <v>844</v>
      </c>
      <c r="E296" s="4">
        <f>IFERROR(INDEX([1]uot!$A$2:$A$40, MATCH("*"&amp;'[1]Personale di appoggio'!$D297&amp;"*", [1]uot!$B$2:$B$40, 0)), "Valore non trovato")</f>
        <v>10</v>
      </c>
      <c r="F296" s="4">
        <f>IF(TRIM('[1]Personale di appoggio'!$F297)=TRIM([1]qualifiche!$E$2),[1]qualifiche!$D$2,
IF(TRIM('[1]Personale di appoggio'!$F297)=TRIM([1]qualifiche!$E$3),[1]qualifiche!$D$3,
IF(TRIM('[1]Personale di appoggio'!$F297)=TRIM([1]qualifiche!$E$4),[1]qualifiche!$D$4,
IF(TRIM('[1]Personale di appoggio'!$F297)=TRIM([1]qualifiche!$E$5),[1]qualifiche!$D$5,
IF(TRIM('[1]Personale di appoggio'!$F297)=TRIM([1]qualifiche!$E$6),[1]qualifiche!$D$6,
IF(TRIM('[1]Personale di appoggio'!$F297)=TRIM([1]qualifiche!$E$7),[1]qualifiche!$D$7,
IF(TRIM('[1]Personale di appoggio'!$F297)=TRIM([1]qualifiche!$E$8),[1]qualifiche!$D$8,
IF(TRIM('[1]Personale di appoggio'!$F297)=TRIM([1]qualifiche!$E$9),[1]qualifiche!$D$9,
IF(TRIM('[1]Personale di appoggio'!$F297)=TRIM([1]qualifiche!$E$10),[1]qualifiche!$D$10,
IF(TRIM('[1]Personale di appoggio'!$F297)=TRIM([1]qualifiche!$E$11),[1]qualifiche!$D$11,""))))))))))</f>
        <v>7</v>
      </c>
      <c r="G296" s="5" t="s">
        <v>1620</v>
      </c>
      <c r="H296" s="5" t="s">
        <v>1621</v>
      </c>
      <c r="I296" s="8" t="s">
        <v>1622</v>
      </c>
      <c r="J296" s="7">
        <f>IF('[1]Personale di appoggio'!J297="X",1,0)</f>
        <v>0</v>
      </c>
      <c r="K296" s="7">
        <f>IF('[1]Personale di appoggio'!K297="X",1,0)</f>
        <v>0</v>
      </c>
      <c r="L296" s="7">
        <f>IF('[1]Personale di appoggio'!L297="X",1,0)</f>
        <v>0</v>
      </c>
      <c r="M296" s="7">
        <f>IF('[1]Personale di appoggio'!M297="X",1,0)</f>
        <v>0</v>
      </c>
      <c r="N296" s="3"/>
      <c r="O296" s="3"/>
      <c r="P296" s="11" t="str">
        <f>IF('[1]Personale di appoggio'!$P297="","",'[1]Personale di appoggio'!$P297)</f>
        <v/>
      </c>
      <c r="Q296" s="4" t="s">
        <v>6</v>
      </c>
      <c r="R296" s="4">
        <f t="shared" si="4"/>
        <v>4</v>
      </c>
    </row>
    <row r="297" spans="1:18" ht="31.5" x14ac:dyDescent="0.45">
      <c r="A297" s="9">
        <v>297</v>
      </c>
      <c r="B297" s="2" t="s">
        <v>1623</v>
      </c>
      <c r="C297" s="3" t="s">
        <v>1624</v>
      </c>
      <c r="D297" s="3" t="s">
        <v>951</v>
      </c>
      <c r="E297" s="4">
        <f>IFERROR(INDEX([1]uot!$A$2:$A$40, MATCH("*"&amp;'[1]Personale di appoggio'!$D298&amp;"*", [1]uot!$B$2:$B$40, 0)), "Valore non trovato")</f>
        <v>10</v>
      </c>
      <c r="F297" s="4">
        <f>IF(TRIM('[1]Personale di appoggio'!$F298)=TRIM([1]qualifiche!$E$2),[1]qualifiche!$D$2,
IF(TRIM('[1]Personale di appoggio'!$F298)=TRIM([1]qualifiche!$E$3),[1]qualifiche!$D$3,
IF(TRIM('[1]Personale di appoggio'!$F298)=TRIM([1]qualifiche!$E$4),[1]qualifiche!$D$4,
IF(TRIM('[1]Personale di appoggio'!$F298)=TRIM([1]qualifiche!$E$5),[1]qualifiche!$D$5,
IF(TRIM('[1]Personale di appoggio'!$F298)=TRIM([1]qualifiche!$E$6),[1]qualifiche!$D$6,
IF(TRIM('[1]Personale di appoggio'!$F298)=TRIM([1]qualifiche!$E$7),[1]qualifiche!$D$7,
IF(TRIM('[1]Personale di appoggio'!$F298)=TRIM([1]qualifiche!$E$8),[1]qualifiche!$D$8,
IF(TRIM('[1]Personale di appoggio'!$F298)=TRIM([1]qualifiche!$E$9),[1]qualifiche!$D$9,
IF(TRIM('[1]Personale di appoggio'!$F298)=TRIM([1]qualifiche!$E$10),[1]qualifiche!$D$10,
IF(TRIM('[1]Personale di appoggio'!$F298)=TRIM([1]qualifiche!$E$11),[1]qualifiche!$D$11,""))))))))))</f>
        <v>7</v>
      </c>
      <c r="G297" s="5" t="s">
        <v>1625</v>
      </c>
      <c r="H297" s="5" t="s">
        <v>1626</v>
      </c>
      <c r="I297" s="8" t="s">
        <v>1627</v>
      </c>
      <c r="J297" s="7">
        <f>IF('[1]Personale di appoggio'!J298="X",1,0)</f>
        <v>0</v>
      </c>
      <c r="K297" s="7">
        <f>IF('[1]Personale di appoggio'!K298="X",1,0)</f>
        <v>0</v>
      </c>
      <c r="L297" s="7">
        <f>IF('[1]Personale di appoggio'!L298="X",1,0)</f>
        <v>0</v>
      </c>
      <c r="M297" s="7">
        <f>IF('[1]Personale di appoggio'!M298="X",1,0)</f>
        <v>0</v>
      </c>
      <c r="N297" s="3"/>
      <c r="O297" s="3"/>
      <c r="P297" s="11" t="str">
        <f>IF('[1]Personale di appoggio'!$P298="","",'[1]Personale di appoggio'!$P298)</f>
        <v/>
      </c>
      <c r="Q297" s="4" t="s">
        <v>6</v>
      </c>
      <c r="R297" s="4">
        <f t="shared" si="4"/>
        <v>4</v>
      </c>
    </row>
    <row r="298" spans="1:18" ht="31.5" x14ac:dyDescent="0.45">
      <c r="A298" s="9">
        <v>298</v>
      </c>
      <c r="B298" s="2" t="s">
        <v>1628</v>
      </c>
      <c r="C298" s="3" t="s">
        <v>1629</v>
      </c>
      <c r="D298" s="3" t="s">
        <v>1630</v>
      </c>
      <c r="E298" s="4">
        <f>IFERROR(INDEX([1]uot!$A$2:$A$40, MATCH("*"&amp;'[1]Personale di appoggio'!$D299&amp;"*", [1]uot!$B$2:$B$40, 0)), "Valore non trovato")</f>
        <v>10</v>
      </c>
      <c r="F298" s="4">
        <f>IF(TRIM('[1]Personale di appoggio'!$F299)=TRIM([1]qualifiche!$E$2),[1]qualifiche!$D$2,
IF(TRIM('[1]Personale di appoggio'!$F299)=TRIM([1]qualifiche!$E$3),[1]qualifiche!$D$3,
IF(TRIM('[1]Personale di appoggio'!$F299)=TRIM([1]qualifiche!$E$4),[1]qualifiche!$D$4,
IF(TRIM('[1]Personale di appoggio'!$F299)=TRIM([1]qualifiche!$E$5),[1]qualifiche!$D$5,
IF(TRIM('[1]Personale di appoggio'!$F299)=TRIM([1]qualifiche!$E$6),[1]qualifiche!$D$6,
IF(TRIM('[1]Personale di appoggio'!$F299)=TRIM([1]qualifiche!$E$7),[1]qualifiche!$D$7,
IF(TRIM('[1]Personale di appoggio'!$F299)=TRIM([1]qualifiche!$E$8),[1]qualifiche!$D$8,
IF(TRIM('[1]Personale di appoggio'!$F299)=TRIM([1]qualifiche!$E$9),[1]qualifiche!$D$9,
IF(TRIM('[1]Personale di appoggio'!$F299)=TRIM([1]qualifiche!$E$10),[1]qualifiche!$D$10,
IF(TRIM('[1]Personale di appoggio'!$F299)=TRIM([1]qualifiche!$E$11),[1]qualifiche!$D$11,""))))))))))</f>
        <v>7</v>
      </c>
      <c r="G298" s="5" t="s">
        <v>1631</v>
      </c>
      <c r="H298" s="5" t="s">
        <v>1632</v>
      </c>
      <c r="I298" s="8" t="s">
        <v>1633</v>
      </c>
      <c r="J298" s="7">
        <f>IF('[1]Personale di appoggio'!J299="X",1,0)</f>
        <v>0</v>
      </c>
      <c r="K298" s="7">
        <f>IF('[1]Personale di appoggio'!K299="X",1,0)</f>
        <v>0</v>
      </c>
      <c r="L298" s="7">
        <f>IF('[1]Personale di appoggio'!L299="X",1,0)</f>
        <v>0</v>
      </c>
      <c r="M298" s="7">
        <f>IF('[1]Personale di appoggio'!M299="X",1,0)</f>
        <v>0</v>
      </c>
      <c r="N298" s="3"/>
      <c r="O298" s="3"/>
      <c r="P298" s="11" t="str">
        <f>IF('[1]Personale di appoggio'!$P299="","",'[1]Personale di appoggio'!$P299)</f>
        <v/>
      </c>
      <c r="Q298" s="4" t="s">
        <v>6</v>
      </c>
      <c r="R298" s="4">
        <f t="shared" si="4"/>
        <v>4</v>
      </c>
    </row>
    <row r="299" spans="1:18" ht="31.5" x14ac:dyDescent="0.45">
      <c r="A299" s="9">
        <v>299</v>
      </c>
      <c r="B299" s="2" t="s">
        <v>1634</v>
      </c>
      <c r="C299" s="3" t="s">
        <v>389</v>
      </c>
      <c r="D299" s="3" t="s">
        <v>63</v>
      </c>
      <c r="E299" s="4">
        <f>IFERROR(INDEX([1]uot!$A$2:$A$40, MATCH("*"&amp;'[1]Personale di appoggio'!$D300&amp;"*", [1]uot!$B$2:$B$40, 0)), "Valore non trovato")</f>
        <v>10</v>
      </c>
      <c r="F299" s="4">
        <f>IF(TRIM('[1]Personale di appoggio'!$F300)=TRIM([1]qualifiche!$E$2),[1]qualifiche!$D$2,
IF(TRIM('[1]Personale di appoggio'!$F300)=TRIM([1]qualifiche!$E$3),[1]qualifiche!$D$3,
IF(TRIM('[1]Personale di appoggio'!$F300)=TRIM([1]qualifiche!$E$4),[1]qualifiche!$D$4,
IF(TRIM('[1]Personale di appoggio'!$F300)=TRIM([1]qualifiche!$E$5),[1]qualifiche!$D$5,
IF(TRIM('[1]Personale di appoggio'!$F300)=TRIM([1]qualifiche!$E$6),[1]qualifiche!$D$6,
IF(TRIM('[1]Personale di appoggio'!$F300)=TRIM([1]qualifiche!$E$7),[1]qualifiche!$D$7,
IF(TRIM('[1]Personale di appoggio'!$F300)=TRIM([1]qualifiche!$E$8),[1]qualifiche!$D$8,
IF(TRIM('[1]Personale di appoggio'!$F300)=TRIM([1]qualifiche!$E$9),[1]qualifiche!$D$9,
IF(TRIM('[1]Personale di appoggio'!$F300)=TRIM([1]qualifiche!$E$10),[1]qualifiche!$D$10,
IF(TRIM('[1]Personale di appoggio'!$F300)=TRIM([1]qualifiche!$E$11),[1]qualifiche!$D$11,""))))))))))</f>
        <v>7</v>
      </c>
      <c r="G299" s="5" t="s">
        <v>1635</v>
      </c>
      <c r="H299" s="5" t="s">
        <v>1636</v>
      </c>
      <c r="I299" s="8" t="s">
        <v>1637</v>
      </c>
      <c r="J299" s="7">
        <f>IF('[1]Personale di appoggio'!J300="X",1,0)</f>
        <v>0</v>
      </c>
      <c r="K299" s="7">
        <f>IF('[1]Personale di appoggio'!K300="X",1,0)</f>
        <v>0</v>
      </c>
      <c r="L299" s="7">
        <f>IF('[1]Personale di appoggio'!L300="X",1,0)</f>
        <v>0</v>
      </c>
      <c r="M299" s="7">
        <f>IF('[1]Personale di appoggio'!M300="X",1,0)</f>
        <v>0</v>
      </c>
      <c r="N299" s="3"/>
      <c r="O299" s="3"/>
      <c r="P299" s="11" t="str">
        <f>IF('[1]Personale di appoggio'!$P300="","",'[1]Personale di appoggio'!$P300)</f>
        <v/>
      </c>
      <c r="Q299" s="4" t="s">
        <v>6</v>
      </c>
      <c r="R299" s="4">
        <f t="shared" si="4"/>
        <v>4</v>
      </c>
    </row>
    <row r="300" spans="1:18" ht="31.5" x14ac:dyDescent="0.45">
      <c r="A300" s="9">
        <v>300</v>
      </c>
      <c r="B300" s="2" t="s">
        <v>1638</v>
      </c>
      <c r="C300" s="3" t="s">
        <v>1639</v>
      </c>
      <c r="D300" s="3" t="s">
        <v>1640</v>
      </c>
      <c r="E300" s="4">
        <f>IFERROR(INDEX([1]uot!$A$2:$A$40, MATCH("*"&amp;'[1]Personale di appoggio'!$D301&amp;"*", [1]uot!$B$2:$B$40, 0)), "Valore non trovato")</f>
        <v>10</v>
      </c>
      <c r="F300" s="4">
        <f>IF(TRIM('[1]Personale di appoggio'!$F301)=TRIM([1]qualifiche!$E$2),[1]qualifiche!$D$2,
IF(TRIM('[1]Personale di appoggio'!$F301)=TRIM([1]qualifiche!$E$3),[1]qualifiche!$D$3,
IF(TRIM('[1]Personale di appoggio'!$F301)=TRIM([1]qualifiche!$E$4),[1]qualifiche!$D$4,
IF(TRIM('[1]Personale di appoggio'!$F301)=TRIM([1]qualifiche!$E$5),[1]qualifiche!$D$5,
IF(TRIM('[1]Personale di appoggio'!$F301)=TRIM([1]qualifiche!$E$6),[1]qualifiche!$D$6,
IF(TRIM('[1]Personale di appoggio'!$F301)=TRIM([1]qualifiche!$E$7),[1]qualifiche!$D$7,
IF(TRIM('[1]Personale di appoggio'!$F301)=TRIM([1]qualifiche!$E$8),[1]qualifiche!$D$8,
IF(TRIM('[1]Personale di appoggio'!$F301)=TRIM([1]qualifiche!$E$9),[1]qualifiche!$D$9,
IF(TRIM('[1]Personale di appoggio'!$F301)=TRIM([1]qualifiche!$E$10),[1]qualifiche!$D$10,
IF(TRIM('[1]Personale di appoggio'!$F301)=TRIM([1]qualifiche!$E$11),[1]qualifiche!$D$11,""))))))))))</f>
        <v>7</v>
      </c>
      <c r="G300" s="5" t="s">
        <v>1641</v>
      </c>
      <c r="H300" s="5" t="s">
        <v>1642</v>
      </c>
      <c r="I300" s="8" t="s">
        <v>1643</v>
      </c>
      <c r="J300" s="7">
        <f>IF('[1]Personale di appoggio'!J301="X",1,0)</f>
        <v>0</v>
      </c>
      <c r="K300" s="7">
        <f>IF('[1]Personale di appoggio'!K301="X",1,0)</f>
        <v>0</v>
      </c>
      <c r="L300" s="7">
        <f>IF('[1]Personale di appoggio'!L301="X",1,0)</f>
        <v>0</v>
      </c>
      <c r="M300" s="7">
        <f>IF('[1]Personale di appoggio'!M301="X",1,0)</f>
        <v>0</v>
      </c>
      <c r="N300" s="3"/>
      <c r="O300" s="3"/>
      <c r="P300" s="11" t="str">
        <f>IF('[1]Personale di appoggio'!$P301="","",'[1]Personale di appoggio'!$P301)</f>
        <v/>
      </c>
      <c r="Q300" s="4" t="s">
        <v>6</v>
      </c>
      <c r="R300" s="4">
        <f t="shared" si="4"/>
        <v>4</v>
      </c>
    </row>
    <row r="301" spans="1:18" ht="31.5" x14ac:dyDescent="0.45">
      <c r="A301" s="9">
        <v>301</v>
      </c>
      <c r="B301" s="2" t="s">
        <v>1644</v>
      </c>
      <c r="C301" s="3" t="s">
        <v>1645</v>
      </c>
      <c r="D301" s="3" t="s">
        <v>1646</v>
      </c>
      <c r="E301" s="4">
        <f>IFERROR(INDEX([1]uot!$A$2:$A$40, MATCH("*"&amp;'[1]Personale di appoggio'!$D302&amp;"*", [1]uot!$B$2:$B$40, 0)), "Valore non trovato")</f>
        <v>10</v>
      </c>
      <c r="F301" s="4">
        <f>IF(TRIM('[1]Personale di appoggio'!$F302)=TRIM([1]qualifiche!$E$2),[1]qualifiche!$D$2,
IF(TRIM('[1]Personale di appoggio'!$F302)=TRIM([1]qualifiche!$E$3),[1]qualifiche!$D$3,
IF(TRIM('[1]Personale di appoggio'!$F302)=TRIM([1]qualifiche!$E$4),[1]qualifiche!$D$4,
IF(TRIM('[1]Personale di appoggio'!$F302)=TRIM([1]qualifiche!$E$5),[1]qualifiche!$D$5,
IF(TRIM('[1]Personale di appoggio'!$F302)=TRIM([1]qualifiche!$E$6),[1]qualifiche!$D$6,
IF(TRIM('[1]Personale di appoggio'!$F302)=TRIM([1]qualifiche!$E$7),[1]qualifiche!$D$7,
IF(TRIM('[1]Personale di appoggio'!$F302)=TRIM([1]qualifiche!$E$8),[1]qualifiche!$D$8,
IF(TRIM('[1]Personale di appoggio'!$F302)=TRIM([1]qualifiche!$E$9),[1]qualifiche!$D$9,
IF(TRIM('[1]Personale di appoggio'!$F302)=TRIM([1]qualifiche!$E$10),[1]qualifiche!$D$10,
IF(TRIM('[1]Personale di appoggio'!$F302)=TRIM([1]qualifiche!$E$11),[1]qualifiche!$D$11,""))))))))))</f>
        <v>7</v>
      </c>
      <c r="G301" s="5" t="s">
        <v>1647</v>
      </c>
      <c r="H301" s="5" t="s">
        <v>1648</v>
      </c>
      <c r="I301" s="6" t="s">
        <v>1649</v>
      </c>
      <c r="J301" s="7">
        <f>IF('[1]Personale di appoggio'!J302="X",1,0)</f>
        <v>0</v>
      </c>
      <c r="K301" s="7">
        <f>IF('[1]Personale di appoggio'!K302="X",1,0)</f>
        <v>0</v>
      </c>
      <c r="L301" s="7">
        <f>IF('[1]Personale di appoggio'!L302="X",1,0)</f>
        <v>0</v>
      </c>
      <c r="M301" s="7">
        <f>IF('[1]Personale di appoggio'!M302="X",1,0)</f>
        <v>0</v>
      </c>
      <c r="N301" s="3"/>
      <c r="O301" s="3"/>
      <c r="P301" s="11" t="str">
        <f>IF('[1]Personale di appoggio'!$P302="","",'[1]Personale di appoggio'!$P302)</f>
        <v/>
      </c>
      <c r="Q301" s="4" t="s">
        <v>6</v>
      </c>
      <c r="R301" s="4">
        <f t="shared" si="4"/>
        <v>4</v>
      </c>
    </row>
    <row r="302" spans="1:18" ht="28.5" x14ac:dyDescent="0.45">
      <c r="A302" s="9">
        <v>302</v>
      </c>
      <c r="B302" s="2" t="s">
        <v>1650</v>
      </c>
      <c r="C302" s="3" t="s">
        <v>1651</v>
      </c>
      <c r="D302" s="3" t="s">
        <v>324</v>
      </c>
      <c r="E302" s="4">
        <f>IFERROR(INDEX([1]uot!$A$2:$A$40, MATCH("*"&amp;'[1]Personale di appoggio'!$D303&amp;"*", [1]uot!$B$2:$B$40, 0)), "Valore non trovato")</f>
        <v>10</v>
      </c>
      <c r="F302" s="4">
        <f>IF(TRIM('[1]Personale di appoggio'!$F303)=TRIM([1]qualifiche!$E$2),[1]qualifiche!$D$2,
IF(TRIM('[1]Personale di appoggio'!$F303)=TRIM([1]qualifiche!$E$3),[1]qualifiche!$D$3,
IF(TRIM('[1]Personale di appoggio'!$F303)=TRIM([1]qualifiche!$E$4),[1]qualifiche!$D$4,
IF(TRIM('[1]Personale di appoggio'!$F303)=TRIM([1]qualifiche!$E$5),[1]qualifiche!$D$5,
IF(TRIM('[1]Personale di appoggio'!$F303)=TRIM([1]qualifiche!$E$6),[1]qualifiche!$D$6,
IF(TRIM('[1]Personale di appoggio'!$F303)=TRIM([1]qualifiche!$E$7),[1]qualifiche!$D$7,
IF(TRIM('[1]Personale di appoggio'!$F303)=TRIM([1]qualifiche!$E$8),[1]qualifiche!$D$8,
IF(TRIM('[1]Personale di appoggio'!$F303)=TRIM([1]qualifiche!$E$9),[1]qualifiche!$D$9,
IF(TRIM('[1]Personale di appoggio'!$F303)=TRIM([1]qualifiche!$E$10),[1]qualifiche!$D$10,
IF(TRIM('[1]Personale di appoggio'!$F303)=TRIM([1]qualifiche!$E$11),[1]qualifiche!$D$11,""))))))))))</f>
        <v>7</v>
      </c>
      <c r="G302" s="5"/>
      <c r="H302" s="5"/>
      <c r="I302" s="6" t="s">
        <v>1652</v>
      </c>
      <c r="J302" s="7">
        <f>IF('[1]Personale di appoggio'!J303="X",1,0)</f>
        <v>0</v>
      </c>
      <c r="K302" s="7">
        <f>IF('[1]Personale di appoggio'!K303="X",1,0)</f>
        <v>0</v>
      </c>
      <c r="L302" s="7">
        <f>IF('[1]Personale di appoggio'!L303="X",1,0)</f>
        <v>0</v>
      </c>
      <c r="M302" s="7">
        <f>IF('[1]Personale di appoggio'!M303="X",1,0)</f>
        <v>0</v>
      </c>
      <c r="N302" s="3"/>
      <c r="O302" s="3"/>
      <c r="P302" s="11" t="str">
        <f>IF('[1]Personale di appoggio'!$P303="","",'[1]Personale di appoggio'!$P303)</f>
        <v/>
      </c>
      <c r="Q302" s="4" t="s">
        <v>6</v>
      </c>
      <c r="R302" s="4">
        <f t="shared" si="4"/>
        <v>4</v>
      </c>
    </row>
    <row r="303" spans="1:18" ht="31.5" x14ac:dyDescent="0.45">
      <c r="A303" s="9">
        <v>303</v>
      </c>
      <c r="B303" s="2" t="s">
        <v>1653</v>
      </c>
      <c r="C303" s="3" t="s">
        <v>1654</v>
      </c>
      <c r="D303" s="3" t="s">
        <v>181</v>
      </c>
      <c r="E303" s="4">
        <f>IFERROR(INDEX([1]uot!$A$2:$A$40, MATCH("*"&amp;'[1]Personale di appoggio'!$D304&amp;"*", [1]uot!$B$2:$B$40, 0)), "Valore non trovato")</f>
        <v>10</v>
      </c>
      <c r="F303" s="4">
        <f>IF(TRIM('[1]Personale di appoggio'!$F304)=TRIM([1]qualifiche!$E$2),[1]qualifiche!$D$2,
IF(TRIM('[1]Personale di appoggio'!$F304)=TRIM([1]qualifiche!$E$3),[1]qualifiche!$D$3,
IF(TRIM('[1]Personale di appoggio'!$F304)=TRIM([1]qualifiche!$E$4),[1]qualifiche!$D$4,
IF(TRIM('[1]Personale di appoggio'!$F304)=TRIM([1]qualifiche!$E$5),[1]qualifiche!$D$5,
IF(TRIM('[1]Personale di appoggio'!$F304)=TRIM([1]qualifiche!$E$6),[1]qualifiche!$D$6,
IF(TRIM('[1]Personale di appoggio'!$F304)=TRIM([1]qualifiche!$E$7),[1]qualifiche!$D$7,
IF(TRIM('[1]Personale di appoggio'!$F304)=TRIM([1]qualifiche!$E$8),[1]qualifiche!$D$8,
IF(TRIM('[1]Personale di appoggio'!$F304)=TRIM([1]qualifiche!$E$9),[1]qualifiche!$D$9,
IF(TRIM('[1]Personale di appoggio'!$F304)=TRIM([1]qualifiche!$E$10),[1]qualifiche!$D$10,
IF(TRIM('[1]Personale di appoggio'!$F304)=TRIM([1]qualifiche!$E$11),[1]qualifiche!$D$11,""))))))))))</f>
        <v>8</v>
      </c>
      <c r="G303" s="5" t="s">
        <v>1655</v>
      </c>
      <c r="H303" s="5" t="s">
        <v>1656</v>
      </c>
      <c r="I303" s="8" t="s">
        <v>1657</v>
      </c>
      <c r="J303" s="7">
        <f>IF('[1]Personale di appoggio'!J304="X",1,0)</f>
        <v>0</v>
      </c>
      <c r="K303" s="7">
        <f>IF('[1]Personale di appoggio'!K304="X",1,0)</f>
        <v>0</v>
      </c>
      <c r="L303" s="7">
        <f>IF('[1]Personale di appoggio'!L304="X",1,0)</f>
        <v>0</v>
      </c>
      <c r="M303" s="7">
        <f>IF('[1]Personale di appoggio'!M304="X",1,0)</f>
        <v>0</v>
      </c>
      <c r="N303" s="3"/>
      <c r="O303" s="3"/>
      <c r="P303" s="11" t="str">
        <f>IF('[1]Personale di appoggio'!$P304="","",'[1]Personale di appoggio'!$P304)</f>
        <v/>
      </c>
      <c r="Q303" s="4" t="s">
        <v>6</v>
      </c>
      <c r="R303" s="4">
        <f t="shared" si="4"/>
        <v>4</v>
      </c>
    </row>
    <row r="304" spans="1:18" ht="31.5" x14ac:dyDescent="0.45">
      <c r="A304" s="9">
        <v>304</v>
      </c>
      <c r="B304" s="2" t="s">
        <v>1658</v>
      </c>
      <c r="C304" s="3" t="s">
        <v>1659</v>
      </c>
      <c r="D304" s="3" t="s">
        <v>295</v>
      </c>
      <c r="E304" s="4">
        <f>IFERROR(INDEX([1]uot!$A$2:$A$40, MATCH("*"&amp;'[1]Personale di appoggio'!$D305&amp;"*", [1]uot!$B$2:$B$40, 0)), "Valore non trovato")</f>
        <v>10</v>
      </c>
      <c r="F304" s="4">
        <f>IF(TRIM('[1]Personale di appoggio'!$F305)=TRIM([1]qualifiche!$E$2),[1]qualifiche!$D$2,
IF(TRIM('[1]Personale di appoggio'!$F305)=TRIM([1]qualifiche!$E$3),[1]qualifiche!$D$3,
IF(TRIM('[1]Personale di appoggio'!$F305)=TRIM([1]qualifiche!$E$4),[1]qualifiche!$D$4,
IF(TRIM('[1]Personale di appoggio'!$F305)=TRIM([1]qualifiche!$E$5),[1]qualifiche!$D$5,
IF(TRIM('[1]Personale di appoggio'!$F305)=TRIM([1]qualifiche!$E$6),[1]qualifiche!$D$6,
IF(TRIM('[1]Personale di appoggio'!$F305)=TRIM([1]qualifiche!$E$7),[1]qualifiche!$D$7,
IF(TRIM('[1]Personale di appoggio'!$F305)=TRIM([1]qualifiche!$E$8),[1]qualifiche!$D$8,
IF(TRIM('[1]Personale di appoggio'!$F305)=TRIM([1]qualifiche!$E$9),[1]qualifiche!$D$9,
IF(TRIM('[1]Personale di appoggio'!$F305)=TRIM([1]qualifiche!$E$10),[1]qualifiche!$D$10,
IF(TRIM('[1]Personale di appoggio'!$F305)=TRIM([1]qualifiche!$E$11),[1]qualifiche!$D$11,""))))))))))</f>
        <v>8</v>
      </c>
      <c r="G304" s="5" t="s">
        <v>1660</v>
      </c>
      <c r="H304" s="5" t="s">
        <v>1661</v>
      </c>
      <c r="I304" s="6" t="s">
        <v>1662</v>
      </c>
      <c r="J304" s="7">
        <f>IF('[1]Personale di appoggio'!J305="X",1,0)</f>
        <v>0</v>
      </c>
      <c r="K304" s="7">
        <f>IF('[1]Personale di appoggio'!K305="X",1,0)</f>
        <v>0</v>
      </c>
      <c r="L304" s="7">
        <f>IF('[1]Personale di appoggio'!L305="X",1,0)</f>
        <v>0</v>
      </c>
      <c r="M304" s="7">
        <f>IF('[1]Personale di appoggio'!M305="X",1,0)</f>
        <v>0</v>
      </c>
      <c r="N304" s="3"/>
      <c r="O304" s="3"/>
      <c r="P304" s="11" t="str">
        <f>IF('[1]Personale di appoggio'!$P305="","",'[1]Personale di appoggio'!$P305)</f>
        <v/>
      </c>
      <c r="Q304" s="4" t="s">
        <v>6</v>
      </c>
      <c r="R304" s="4">
        <f t="shared" si="4"/>
        <v>4</v>
      </c>
    </row>
    <row r="305" spans="1:18" ht="78.75" x14ac:dyDescent="0.45">
      <c r="A305" s="9">
        <v>305</v>
      </c>
      <c r="B305" s="2" t="s">
        <v>1663</v>
      </c>
      <c r="C305" s="3" t="s">
        <v>1664</v>
      </c>
      <c r="D305" s="3" t="s">
        <v>15</v>
      </c>
      <c r="E305" s="4">
        <f>IFERROR(INDEX([1]uot!$A$2:$A$40, MATCH("*"&amp;'[1]Personale di appoggio'!$D306&amp;"*", [1]uot!$B$2:$B$40, 0)), "Valore non trovato")</f>
        <v>30</v>
      </c>
      <c r="F305" s="4">
        <f>IF(TRIM('[1]Personale di appoggio'!$F306)=TRIM([1]qualifiche!$E$2),[1]qualifiche!$D$2,
IF(TRIM('[1]Personale di appoggio'!$F306)=TRIM([1]qualifiche!$E$3),[1]qualifiche!$D$3,
IF(TRIM('[1]Personale di appoggio'!$F306)=TRIM([1]qualifiche!$E$4),[1]qualifiche!$D$4,
IF(TRIM('[1]Personale di appoggio'!$F306)=TRIM([1]qualifiche!$E$5),[1]qualifiche!$D$5,
IF(TRIM('[1]Personale di appoggio'!$F306)=TRIM([1]qualifiche!$E$6),[1]qualifiche!$D$6,
IF(TRIM('[1]Personale di appoggio'!$F306)=TRIM([1]qualifiche!$E$7),[1]qualifiche!$D$7,
IF(TRIM('[1]Personale di appoggio'!$F306)=TRIM([1]qualifiche!$E$8),[1]qualifiche!$D$8,
IF(TRIM('[1]Personale di appoggio'!$F306)=TRIM([1]qualifiche!$E$9),[1]qualifiche!$D$9,
IF(TRIM('[1]Personale di appoggio'!$F306)=TRIM([1]qualifiche!$E$10),[1]qualifiche!$D$10,
IF(TRIM('[1]Personale di appoggio'!$F306)=TRIM([1]qualifiche!$E$11),[1]qualifiche!$D$11,""))))))))))</f>
        <v>1</v>
      </c>
      <c r="G305" s="5" t="s">
        <v>1665</v>
      </c>
      <c r="H305" s="5" t="s">
        <v>1666</v>
      </c>
      <c r="I305" s="6" t="s">
        <v>1667</v>
      </c>
      <c r="J305" s="7">
        <f>IF('[1]Personale di appoggio'!J306="X",1,0)</f>
        <v>0</v>
      </c>
      <c r="K305" s="7">
        <f>IF('[1]Personale di appoggio'!K306="X",1,0)</f>
        <v>1</v>
      </c>
      <c r="L305" s="7">
        <f>IF('[1]Personale di appoggio'!L306="X",1,0)</f>
        <v>0</v>
      </c>
      <c r="M305" s="7">
        <f>IF('[1]Personale di appoggio'!M306="X",1,0)</f>
        <v>1</v>
      </c>
      <c r="N305" s="3"/>
      <c r="O305" s="3"/>
      <c r="P305" s="11" t="str">
        <f>IF('[1]Personale di appoggio'!$P306="","",'[1]Personale di appoggio'!$P306)</f>
        <v>in pensione dal 01/09/2024</v>
      </c>
      <c r="Q305" s="4" t="s">
        <v>6</v>
      </c>
      <c r="R305" s="4">
        <f t="shared" si="4"/>
        <v>2</v>
      </c>
    </row>
    <row r="306" spans="1:18" ht="28.5" x14ac:dyDescent="0.45">
      <c r="A306" s="9">
        <v>306</v>
      </c>
      <c r="B306" s="2" t="s">
        <v>1668</v>
      </c>
      <c r="C306" s="3" t="s">
        <v>1669</v>
      </c>
      <c r="D306" s="3" t="s">
        <v>15</v>
      </c>
      <c r="E306" s="4">
        <f>IFERROR(INDEX([1]uot!$A$2:$A$40, MATCH("*"&amp;'[1]Personale di appoggio'!$D307&amp;"*", [1]uot!$B$2:$B$40, 0)), "Valore non trovato")</f>
        <v>30</v>
      </c>
      <c r="F306" s="4">
        <f>IF(TRIM('[1]Personale di appoggio'!$F307)=TRIM([1]qualifiche!$E$2),[1]qualifiche!$D$2,
IF(TRIM('[1]Personale di appoggio'!$F307)=TRIM([1]qualifiche!$E$3),[1]qualifiche!$D$3,
IF(TRIM('[1]Personale di appoggio'!$F307)=TRIM([1]qualifiche!$E$4),[1]qualifiche!$D$4,
IF(TRIM('[1]Personale di appoggio'!$F307)=TRIM([1]qualifiche!$E$5),[1]qualifiche!$D$5,
IF(TRIM('[1]Personale di appoggio'!$F307)=TRIM([1]qualifiche!$E$6),[1]qualifiche!$D$6,
IF(TRIM('[1]Personale di appoggio'!$F307)=TRIM([1]qualifiche!$E$7),[1]qualifiche!$D$7,
IF(TRIM('[1]Personale di appoggio'!$F307)=TRIM([1]qualifiche!$E$8),[1]qualifiche!$D$8,
IF(TRIM('[1]Personale di appoggio'!$F307)=TRIM([1]qualifiche!$E$9),[1]qualifiche!$D$9,
IF(TRIM('[1]Personale di appoggio'!$F307)=TRIM([1]qualifiche!$E$10),[1]qualifiche!$D$10,
IF(TRIM('[1]Personale di appoggio'!$F307)=TRIM([1]qualifiche!$E$11),[1]qualifiche!$D$11,""))))))))))</f>
        <v>3</v>
      </c>
      <c r="G306" s="5"/>
      <c r="H306" s="5"/>
      <c r="I306" s="6" t="s">
        <v>1670</v>
      </c>
      <c r="J306" s="7">
        <f>IF('[1]Personale di appoggio'!J307="X",1,0)</f>
        <v>1</v>
      </c>
      <c r="K306" s="7">
        <f>IF('[1]Personale di appoggio'!K307="X",1,0)</f>
        <v>0</v>
      </c>
      <c r="L306" s="7">
        <f>IF('[1]Personale di appoggio'!L307="X",1,0)</f>
        <v>1</v>
      </c>
      <c r="M306" s="7">
        <f>IF('[1]Personale di appoggio'!M307="X",1,0)</f>
        <v>1</v>
      </c>
      <c r="N306" s="3"/>
      <c r="O306" s="3"/>
      <c r="P306" s="11" t="str">
        <f>IF('[1]Personale di appoggio'!$P307="","",'[1]Personale di appoggio'!$P307)</f>
        <v/>
      </c>
      <c r="Q306" s="4" t="s">
        <v>6</v>
      </c>
      <c r="R306" s="4">
        <f t="shared" si="4"/>
        <v>2</v>
      </c>
    </row>
    <row r="307" spans="1:18" ht="31.5" x14ac:dyDescent="0.45">
      <c r="A307" s="9">
        <v>307</v>
      </c>
      <c r="B307" s="2" t="s">
        <v>1671</v>
      </c>
      <c r="C307" s="3" t="s">
        <v>1672</v>
      </c>
      <c r="D307" s="3" t="s">
        <v>1673</v>
      </c>
      <c r="E307" s="4">
        <f>IFERROR(INDEX([1]uot!$A$2:$A$40, MATCH("*"&amp;'[1]Personale di appoggio'!$D308&amp;"*", [1]uot!$B$2:$B$40, 0)), "Valore non trovato")</f>
        <v>30</v>
      </c>
      <c r="F307" s="4">
        <f>IF(TRIM('[1]Personale di appoggio'!$F308)=TRIM([1]qualifiche!$E$2),[1]qualifiche!$D$2,
IF(TRIM('[1]Personale di appoggio'!$F308)=TRIM([1]qualifiche!$E$3),[1]qualifiche!$D$3,
IF(TRIM('[1]Personale di appoggio'!$F308)=TRIM([1]qualifiche!$E$4),[1]qualifiche!$D$4,
IF(TRIM('[1]Personale di appoggio'!$F308)=TRIM([1]qualifiche!$E$5),[1]qualifiche!$D$5,
IF(TRIM('[1]Personale di appoggio'!$F308)=TRIM([1]qualifiche!$E$6),[1]qualifiche!$D$6,
IF(TRIM('[1]Personale di appoggio'!$F308)=TRIM([1]qualifiche!$E$7),[1]qualifiche!$D$7,
IF(TRIM('[1]Personale di appoggio'!$F308)=TRIM([1]qualifiche!$E$8),[1]qualifiche!$D$8,
IF(TRIM('[1]Personale di appoggio'!$F308)=TRIM([1]qualifiche!$E$9),[1]qualifiche!$D$9,
IF(TRIM('[1]Personale di appoggio'!$F308)=TRIM([1]qualifiche!$E$10),[1]qualifiche!$D$10,
IF(TRIM('[1]Personale di appoggio'!$F308)=TRIM([1]qualifiche!$E$11),[1]qualifiche!$D$11,""))))))))))</f>
        <v>4</v>
      </c>
      <c r="G307" s="5" t="s">
        <v>1674</v>
      </c>
      <c r="H307" s="5" t="s">
        <v>1675</v>
      </c>
      <c r="I307" s="6" t="s">
        <v>1676</v>
      </c>
      <c r="J307" s="7">
        <f>IF('[1]Personale di appoggio'!J308="X",1,0)</f>
        <v>1</v>
      </c>
      <c r="K307" s="7">
        <f>IF('[1]Personale di appoggio'!K308="X",1,0)</f>
        <v>0</v>
      </c>
      <c r="L307" s="7">
        <f>IF('[1]Personale di appoggio'!L308="X",1,0)</f>
        <v>1</v>
      </c>
      <c r="M307" s="7">
        <f>IF('[1]Personale di appoggio'!M308="X",1,0)</f>
        <v>0</v>
      </c>
      <c r="N307" s="3"/>
      <c r="O307" s="3"/>
      <c r="P307" s="11" t="str">
        <f>IF('[1]Personale di appoggio'!$P308="","",'[1]Personale di appoggio'!$P308)</f>
        <v/>
      </c>
      <c r="Q307" s="4" t="s">
        <v>6</v>
      </c>
      <c r="R307" s="4">
        <f t="shared" si="4"/>
        <v>2</v>
      </c>
    </row>
    <row r="308" spans="1:18" ht="42.75" x14ac:dyDescent="0.45">
      <c r="A308" s="9">
        <v>308</v>
      </c>
      <c r="B308" s="2" t="s">
        <v>1677</v>
      </c>
      <c r="C308" s="3" t="s">
        <v>1678</v>
      </c>
      <c r="D308" s="3" t="s">
        <v>1679</v>
      </c>
      <c r="E308" s="4">
        <f>IFERROR(INDEX([1]uot!$A$2:$A$40, MATCH("*"&amp;'[1]Personale di appoggio'!$D309&amp;"*", [1]uot!$B$2:$B$40, 0)), "Valore non trovato")</f>
        <v>30</v>
      </c>
      <c r="F308" s="4">
        <f>IF(TRIM('[1]Personale di appoggio'!$F309)=TRIM([1]qualifiche!$E$2),[1]qualifiche!$D$2,
IF(TRIM('[1]Personale di appoggio'!$F309)=TRIM([1]qualifiche!$E$3),[1]qualifiche!$D$3,
IF(TRIM('[1]Personale di appoggio'!$F309)=TRIM([1]qualifiche!$E$4),[1]qualifiche!$D$4,
IF(TRIM('[1]Personale di appoggio'!$F309)=TRIM([1]qualifiche!$E$5),[1]qualifiche!$D$5,
IF(TRIM('[1]Personale di appoggio'!$F309)=TRIM([1]qualifiche!$E$6),[1]qualifiche!$D$6,
IF(TRIM('[1]Personale di appoggio'!$F309)=TRIM([1]qualifiche!$E$7),[1]qualifiche!$D$7,
IF(TRIM('[1]Personale di appoggio'!$F309)=TRIM([1]qualifiche!$E$8),[1]qualifiche!$D$8,
IF(TRIM('[1]Personale di appoggio'!$F309)=TRIM([1]qualifiche!$E$9),[1]qualifiche!$D$9,
IF(TRIM('[1]Personale di appoggio'!$F309)=TRIM([1]qualifiche!$E$10),[1]qualifiche!$D$10,
IF(TRIM('[1]Personale di appoggio'!$F309)=TRIM([1]qualifiche!$E$11),[1]qualifiche!$D$11,""))))))))))</f>
        <v>4</v>
      </c>
      <c r="G308" s="5" t="s">
        <v>1680</v>
      </c>
      <c r="H308" s="5" t="s">
        <v>1681</v>
      </c>
      <c r="I308" s="6" t="s">
        <v>1682</v>
      </c>
      <c r="J308" s="7">
        <f>IF('[1]Personale di appoggio'!J309="X",1,0)</f>
        <v>0</v>
      </c>
      <c r="K308" s="7">
        <f>IF('[1]Personale di appoggio'!K309="X",1,0)</f>
        <v>1</v>
      </c>
      <c r="L308" s="7">
        <f>IF('[1]Personale di appoggio'!L309="X",1,0)</f>
        <v>1</v>
      </c>
      <c r="M308" s="7">
        <f>IF('[1]Personale di appoggio'!M309="X",1,0)</f>
        <v>1</v>
      </c>
      <c r="N308" s="3"/>
      <c r="O308" s="3"/>
      <c r="P308" s="11" t="str">
        <f>IF('[1]Personale di appoggio'!$P309="","",'[1]Personale di appoggio'!$P309)</f>
        <v/>
      </c>
      <c r="Q308" s="4" t="s">
        <v>6</v>
      </c>
      <c r="R308" s="4">
        <f t="shared" si="4"/>
        <v>2</v>
      </c>
    </row>
    <row r="309" spans="1:18" ht="31.5" x14ac:dyDescent="0.45">
      <c r="A309" s="9">
        <v>309</v>
      </c>
      <c r="B309" s="2" t="s">
        <v>1683</v>
      </c>
      <c r="C309" s="3" t="s">
        <v>1684</v>
      </c>
      <c r="D309" s="3" t="s">
        <v>1685</v>
      </c>
      <c r="E309" s="4">
        <f>IFERROR(INDEX([1]uot!$A$2:$A$40, MATCH("*"&amp;'[1]Personale di appoggio'!$D310&amp;"*", [1]uot!$B$2:$B$40, 0)), "Valore non trovato")</f>
        <v>30</v>
      </c>
      <c r="F309" s="4">
        <f>IF(TRIM('[1]Personale di appoggio'!$F310)=TRIM([1]qualifiche!$E$2),[1]qualifiche!$D$2,
IF(TRIM('[1]Personale di appoggio'!$F310)=TRIM([1]qualifiche!$E$3),[1]qualifiche!$D$3,
IF(TRIM('[1]Personale di appoggio'!$F310)=TRIM([1]qualifiche!$E$4),[1]qualifiche!$D$4,
IF(TRIM('[1]Personale di appoggio'!$F310)=TRIM([1]qualifiche!$E$5),[1]qualifiche!$D$5,
IF(TRIM('[1]Personale di appoggio'!$F310)=TRIM([1]qualifiche!$E$6),[1]qualifiche!$D$6,
IF(TRIM('[1]Personale di appoggio'!$F310)=TRIM([1]qualifiche!$E$7),[1]qualifiche!$D$7,
IF(TRIM('[1]Personale di appoggio'!$F310)=TRIM([1]qualifiche!$E$8),[1]qualifiche!$D$8,
IF(TRIM('[1]Personale di appoggio'!$F310)=TRIM([1]qualifiche!$E$9),[1]qualifiche!$D$9,
IF(TRIM('[1]Personale di appoggio'!$F310)=TRIM([1]qualifiche!$E$10),[1]qualifiche!$D$10,
IF(TRIM('[1]Personale di appoggio'!$F310)=TRIM([1]qualifiche!$E$11),[1]qualifiche!$D$11,""))))))))))</f>
        <v>7</v>
      </c>
      <c r="G309" s="5" t="s">
        <v>1686</v>
      </c>
      <c r="H309" s="5" t="s">
        <v>1687</v>
      </c>
      <c r="I309" s="6" t="s">
        <v>1688</v>
      </c>
      <c r="J309" s="7">
        <f>IF('[1]Personale di appoggio'!J310="X",1,0)</f>
        <v>0</v>
      </c>
      <c r="K309" s="7">
        <f>IF('[1]Personale di appoggio'!K310="X",1,0)</f>
        <v>0</v>
      </c>
      <c r="L309" s="7">
        <f>IF('[1]Personale di appoggio'!L310="X",1,0)</f>
        <v>0</v>
      </c>
      <c r="M309" s="7">
        <f>IF('[1]Personale di appoggio'!M310="X",1,0)</f>
        <v>0</v>
      </c>
      <c r="N309" s="3"/>
      <c r="O309" s="3"/>
      <c r="P309" s="11" t="str">
        <f>IF('[1]Personale di appoggio'!$P310="","",'[1]Personale di appoggio'!$P310)</f>
        <v/>
      </c>
      <c r="Q309" s="4" t="s">
        <v>6</v>
      </c>
      <c r="R309" s="4">
        <f t="shared" si="4"/>
        <v>4</v>
      </c>
    </row>
    <row r="310" spans="1:18" ht="31.5" x14ac:dyDescent="0.45">
      <c r="A310" s="9">
        <v>310</v>
      </c>
      <c r="B310" s="2" t="s">
        <v>1689</v>
      </c>
      <c r="C310" s="3" t="s">
        <v>1690</v>
      </c>
      <c r="D310" s="3" t="s">
        <v>1691</v>
      </c>
      <c r="E310" s="4">
        <f>IFERROR(INDEX([1]uot!$A$2:$A$40, MATCH("*"&amp;'[1]Personale di appoggio'!$D311&amp;"*", [1]uot!$B$2:$B$40, 0)), "Valore non trovato")</f>
        <v>30</v>
      </c>
      <c r="F310" s="4">
        <f>IF(TRIM('[1]Personale di appoggio'!$F311)=TRIM([1]qualifiche!$E$2),[1]qualifiche!$D$2,
IF(TRIM('[1]Personale di appoggio'!$F311)=TRIM([1]qualifiche!$E$3),[1]qualifiche!$D$3,
IF(TRIM('[1]Personale di appoggio'!$F311)=TRIM([1]qualifiche!$E$4),[1]qualifiche!$D$4,
IF(TRIM('[1]Personale di appoggio'!$F311)=TRIM([1]qualifiche!$E$5),[1]qualifiche!$D$5,
IF(TRIM('[1]Personale di appoggio'!$F311)=TRIM([1]qualifiche!$E$6),[1]qualifiche!$D$6,
IF(TRIM('[1]Personale di appoggio'!$F311)=TRIM([1]qualifiche!$E$7),[1]qualifiche!$D$7,
IF(TRIM('[1]Personale di appoggio'!$F311)=TRIM([1]qualifiche!$E$8),[1]qualifiche!$D$8,
IF(TRIM('[1]Personale di appoggio'!$F311)=TRIM([1]qualifiche!$E$9),[1]qualifiche!$D$9,
IF(TRIM('[1]Personale di appoggio'!$F311)=TRIM([1]qualifiche!$E$10),[1]qualifiche!$D$10,
IF(TRIM('[1]Personale di appoggio'!$F311)=TRIM([1]qualifiche!$E$11),[1]qualifiche!$D$11,""))))))))))</f>
        <v>7</v>
      </c>
      <c r="G310" s="5" t="s">
        <v>1692</v>
      </c>
      <c r="H310" s="5" t="s">
        <v>1693</v>
      </c>
      <c r="I310" s="6" t="s">
        <v>1694</v>
      </c>
      <c r="J310" s="7">
        <f>IF('[1]Personale di appoggio'!J311="X",1,0)</f>
        <v>0</v>
      </c>
      <c r="K310" s="7">
        <f>IF('[1]Personale di appoggio'!K311="X",1,0)</f>
        <v>0</v>
      </c>
      <c r="L310" s="7">
        <f>IF('[1]Personale di appoggio'!L311="X",1,0)</f>
        <v>0</v>
      </c>
      <c r="M310" s="7">
        <f>IF('[1]Personale di appoggio'!M311="X",1,0)</f>
        <v>0</v>
      </c>
      <c r="N310" s="3"/>
      <c r="O310" s="3"/>
      <c r="P310" s="11" t="str">
        <f>IF('[1]Personale di appoggio'!$P311="","",'[1]Personale di appoggio'!$P311)</f>
        <v/>
      </c>
      <c r="Q310" s="4" t="s">
        <v>6</v>
      </c>
      <c r="R310" s="4">
        <f t="shared" si="4"/>
        <v>4</v>
      </c>
    </row>
    <row r="311" spans="1:18" ht="31.5" x14ac:dyDescent="0.45">
      <c r="A311" s="9">
        <v>311</v>
      </c>
      <c r="B311" s="2" t="s">
        <v>1695</v>
      </c>
      <c r="C311" s="3" t="s">
        <v>1696</v>
      </c>
      <c r="D311" s="3" t="s">
        <v>1697</v>
      </c>
      <c r="E311" s="4">
        <f>IFERROR(INDEX([1]uot!$A$2:$A$40, MATCH("*"&amp;'[1]Personale di appoggio'!$D312&amp;"*", [1]uot!$B$2:$B$40, 0)), "Valore non trovato")</f>
        <v>16</v>
      </c>
      <c r="F311" s="4">
        <f>IF(TRIM('[1]Personale di appoggio'!$F312)=TRIM([1]qualifiche!$E$2),[1]qualifiche!$D$2,
IF(TRIM('[1]Personale di appoggio'!$F312)=TRIM([1]qualifiche!$E$3),[1]qualifiche!$D$3,
IF(TRIM('[1]Personale di appoggio'!$F312)=TRIM([1]qualifiche!$E$4),[1]qualifiche!$D$4,
IF(TRIM('[1]Personale di appoggio'!$F312)=TRIM([1]qualifiche!$E$5),[1]qualifiche!$D$5,
IF(TRIM('[1]Personale di appoggio'!$F312)=TRIM([1]qualifiche!$E$6),[1]qualifiche!$D$6,
IF(TRIM('[1]Personale di appoggio'!$F312)=TRIM([1]qualifiche!$E$7),[1]qualifiche!$D$7,
IF(TRIM('[1]Personale di appoggio'!$F312)=TRIM([1]qualifiche!$E$8),[1]qualifiche!$D$8,
IF(TRIM('[1]Personale di appoggio'!$F312)=TRIM([1]qualifiche!$E$9),[1]qualifiche!$D$9,
IF(TRIM('[1]Personale di appoggio'!$F312)=TRIM([1]qualifiche!$E$10),[1]qualifiche!$D$10,
IF(TRIM('[1]Personale di appoggio'!$F312)=TRIM([1]qualifiche!$E$11),[1]qualifiche!$D$11,""))))))))))</f>
        <v>1</v>
      </c>
      <c r="G311" s="5" t="s">
        <v>1698</v>
      </c>
      <c r="H311" s="5" t="s">
        <v>1699</v>
      </c>
      <c r="I311" s="6" t="s">
        <v>1700</v>
      </c>
      <c r="J311" s="7">
        <f>IF('[1]Personale di appoggio'!J312="X",1,0)</f>
        <v>1</v>
      </c>
      <c r="K311" s="7">
        <f>IF('[1]Personale di appoggio'!K312="X",1,0)</f>
        <v>0</v>
      </c>
      <c r="L311" s="7">
        <f>IF('[1]Personale di appoggio'!L312="X",1,0)</f>
        <v>1</v>
      </c>
      <c r="M311" s="7">
        <f>IF('[1]Personale di appoggio'!M312="X",1,0)</f>
        <v>0</v>
      </c>
      <c r="N311" s="3"/>
      <c r="O311" s="3"/>
      <c r="P311" s="11" t="str">
        <f>IF('[1]Personale di appoggio'!$P312="","",'[1]Personale di appoggio'!$P312)</f>
        <v/>
      </c>
      <c r="Q311" s="4" t="s">
        <v>6</v>
      </c>
      <c r="R311" s="4">
        <f t="shared" si="4"/>
        <v>2</v>
      </c>
    </row>
    <row r="312" spans="1:18" ht="31.5" x14ac:dyDescent="0.45">
      <c r="A312" s="9">
        <v>312</v>
      </c>
      <c r="B312" s="2" t="s">
        <v>1701</v>
      </c>
      <c r="C312" s="3" t="s">
        <v>1702</v>
      </c>
      <c r="D312" s="3" t="s">
        <v>352</v>
      </c>
      <c r="E312" s="4">
        <f>IFERROR(INDEX([1]uot!$A$2:$A$40, MATCH("*"&amp;'[1]Personale di appoggio'!$D313&amp;"*", [1]uot!$B$2:$B$40, 0)), "Valore non trovato")</f>
        <v>16</v>
      </c>
      <c r="F312" s="4">
        <f>IF(TRIM('[1]Personale di appoggio'!$F313)=TRIM([1]qualifiche!$E$2),[1]qualifiche!$D$2,
IF(TRIM('[1]Personale di appoggio'!$F313)=TRIM([1]qualifiche!$E$3),[1]qualifiche!$D$3,
IF(TRIM('[1]Personale di appoggio'!$F313)=TRIM([1]qualifiche!$E$4),[1]qualifiche!$D$4,
IF(TRIM('[1]Personale di appoggio'!$F313)=TRIM([1]qualifiche!$E$5),[1]qualifiche!$D$5,
IF(TRIM('[1]Personale di appoggio'!$F313)=TRIM([1]qualifiche!$E$6),[1]qualifiche!$D$6,
IF(TRIM('[1]Personale di appoggio'!$F313)=TRIM([1]qualifiche!$E$7),[1]qualifiche!$D$7,
IF(TRIM('[1]Personale di appoggio'!$F313)=TRIM([1]qualifiche!$E$8),[1]qualifiche!$D$8,
IF(TRIM('[1]Personale di appoggio'!$F313)=TRIM([1]qualifiche!$E$9),[1]qualifiche!$D$9,
IF(TRIM('[1]Personale di appoggio'!$F313)=TRIM([1]qualifiche!$E$10),[1]qualifiche!$D$10,
IF(TRIM('[1]Personale di appoggio'!$F313)=TRIM([1]qualifiche!$E$11),[1]qualifiche!$D$11,""))))))))))</f>
        <v>3</v>
      </c>
      <c r="G312" s="5" t="s">
        <v>1703</v>
      </c>
      <c r="H312" s="5" t="s">
        <v>1704</v>
      </c>
      <c r="I312" s="6" t="s">
        <v>1705</v>
      </c>
      <c r="J312" s="7">
        <f>IF('[1]Personale di appoggio'!J313="X",1,0)</f>
        <v>0</v>
      </c>
      <c r="K312" s="7">
        <f>IF('[1]Personale di appoggio'!K313="X",1,0)</f>
        <v>1</v>
      </c>
      <c r="L312" s="7">
        <f>IF('[1]Personale di appoggio'!L313="X",1,0)</f>
        <v>0</v>
      </c>
      <c r="M312" s="7">
        <f>IF('[1]Personale di appoggio'!M313="X",1,0)</f>
        <v>1</v>
      </c>
      <c r="N312" s="3"/>
      <c r="O312" s="3"/>
      <c r="P312" s="11" t="str">
        <f>IF('[1]Personale di appoggio'!$P313="","",'[1]Personale di appoggio'!$P313)</f>
        <v/>
      </c>
      <c r="Q312" s="4" t="s">
        <v>6</v>
      </c>
      <c r="R312" s="4">
        <f t="shared" si="4"/>
        <v>2</v>
      </c>
    </row>
    <row r="313" spans="1:18" ht="31.5" x14ac:dyDescent="0.45">
      <c r="A313" s="9">
        <v>313</v>
      </c>
      <c r="B313" s="2" t="s">
        <v>1706</v>
      </c>
      <c r="C313" s="3" t="s">
        <v>1707</v>
      </c>
      <c r="D313" s="3" t="s">
        <v>823</v>
      </c>
      <c r="E313" s="4">
        <f>IFERROR(INDEX([1]uot!$A$2:$A$40, MATCH("*"&amp;'[1]Personale di appoggio'!$D314&amp;"*", [1]uot!$B$2:$B$40, 0)), "Valore non trovato")</f>
        <v>16</v>
      </c>
      <c r="F313" s="4">
        <f>IF(TRIM('[1]Personale di appoggio'!$F314)=TRIM([1]qualifiche!$E$2),[1]qualifiche!$D$2,
IF(TRIM('[1]Personale di appoggio'!$F314)=TRIM([1]qualifiche!$E$3),[1]qualifiche!$D$3,
IF(TRIM('[1]Personale di appoggio'!$F314)=TRIM([1]qualifiche!$E$4),[1]qualifiche!$D$4,
IF(TRIM('[1]Personale di appoggio'!$F314)=TRIM([1]qualifiche!$E$5),[1]qualifiche!$D$5,
IF(TRIM('[1]Personale di appoggio'!$F314)=TRIM([1]qualifiche!$E$6),[1]qualifiche!$D$6,
IF(TRIM('[1]Personale di appoggio'!$F314)=TRIM([1]qualifiche!$E$7),[1]qualifiche!$D$7,
IF(TRIM('[1]Personale di appoggio'!$F314)=TRIM([1]qualifiche!$E$8),[1]qualifiche!$D$8,
IF(TRIM('[1]Personale di appoggio'!$F314)=TRIM([1]qualifiche!$E$9),[1]qualifiche!$D$9,
IF(TRIM('[1]Personale di appoggio'!$F314)=TRIM([1]qualifiche!$E$10),[1]qualifiche!$D$10,
IF(TRIM('[1]Personale di appoggio'!$F314)=TRIM([1]qualifiche!$E$11),[1]qualifiche!$D$11,""))))))))))</f>
        <v>5</v>
      </c>
      <c r="G313" s="5" t="s">
        <v>1708</v>
      </c>
      <c r="H313" s="5" t="s">
        <v>1709</v>
      </c>
      <c r="I313" s="6" t="s">
        <v>1710</v>
      </c>
      <c r="J313" s="7">
        <f>IF('[1]Personale di appoggio'!J314="X",1,0)</f>
        <v>0</v>
      </c>
      <c r="K313" s="7">
        <f>IF('[1]Personale di appoggio'!K314="X",1,0)</f>
        <v>1</v>
      </c>
      <c r="L313" s="7">
        <f>IF('[1]Personale di appoggio'!L314="X",1,0)</f>
        <v>0</v>
      </c>
      <c r="M313" s="7">
        <f>IF('[1]Personale di appoggio'!M314="X",1,0)</f>
        <v>1</v>
      </c>
      <c r="N313" s="3"/>
      <c r="O313" s="3"/>
      <c r="P313" s="11" t="str">
        <f>IF('[1]Personale di appoggio'!$P314="","",'[1]Personale di appoggio'!$P314)</f>
        <v/>
      </c>
      <c r="Q313" s="4" t="s">
        <v>6</v>
      </c>
      <c r="R313" s="4">
        <f t="shared" si="4"/>
        <v>2</v>
      </c>
    </row>
    <row r="314" spans="1:18" ht="31.5" x14ac:dyDescent="0.45">
      <c r="A314" s="9">
        <v>314</v>
      </c>
      <c r="B314" s="2" t="s">
        <v>1711</v>
      </c>
      <c r="C314" s="3" t="s">
        <v>1712</v>
      </c>
      <c r="D314" s="3" t="s">
        <v>1713</v>
      </c>
      <c r="E314" s="4">
        <f>IFERROR(INDEX([1]uot!$A$2:$A$40, MATCH("*"&amp;'[1]Personale di appoggio'!$D315&amp;"*", [1]uot!$B$2:$B$40, 0)), "Valore non trovato")</f>
        <v>16</v>
      </c>
      <c r="F314" s="4">
        <f>IF(TRIM('[1]Personale di appoggio'!$F315)=TRIM([1]qualifiche!$E$2),[1]qualifiche!$D$2,
IF(TRIM('[1]Personale di appoggio'!$F315)=TRIM([1]qualifiche!$E$3),[1]qualifiche!$D$3,
IF(TRIM('[1]Personale di appoggio'!$F315)=TRIM([1]qualifiche!$E$4),[1]qualifiche!$D$4,
IF(TRIM('[1]Personale di appoggio'!$F315)=TRIM([1]qualifiche!$E$5),[1]qualifiche!$D$5,
IF(TRIM('[1]Personale di appoggio'!$F315)=TRIM([1]qualifiche!$E$6),[1]qualifiche!$D$6,
IF(TRIM('[1]Personale di appoggio'!$F315)=TRIM([1]qualifiche!$E$7),[1]qualifiche!$D$7,
IF(TRIM('[1]Personale di appoggio'!$F315)=TRIM([1]qualifiche!$E$8),[1]qualifiche!$D$8,
IF(TRIM('[1]Personale di appoggio'!$F315)=TRIM([1]qualifiche!$E$9),[1]qualifiche!$D$9,
IF(TRIM('[1]Personale di appoggio'!$F315)=TRIM([1]qualifiche!$E$10),[1]qualifiche!$D$10,
IF(TRIM('[1]Personale di appoggio'!$F315)=TRIM([1]qualifiche!$E$11),[1]qualifiche!$D$11,""))))))))))</f>
        <v>4</v>
      </c>
      <c r="G314" s="5" t="s">
        <v>1714</v>
      </c>
      <c r="H314" s="5" t="s">
        <v>1715</v>
      </c>
      <c r="I314" s="6" t="s">
        <v>1716</v>
      </c>
      <c r="J314" s="7">
        <f>IF('[1]Personale di appoggio'!J315="X",1,0)</f>
        <v>1</v>
      </c>
      <c r="K314" s="7">
        <f>IF('[1]Personale di appoggio'!K315="X",1,0)</f>
        <v>0</v>
      </c>
      <c r="L314" s="7">
        <f>IF('[1]Personale di appoggio'!L315="X",1,0)</f>
        <v>0</v>
      </c>
      <c r="M314" s="7">
        <f>IF('[1]Personale di appoggio'!M315="X",1,0)</f>
        <v>0</v>
      </c>
      <c r="N314" s="3"/>
      <c r="O314" s="3"/>
      <c r="P314" s="11" t="str">
        <f>IF('[1]Personale di appoggio'!$P315="","",'[1]Personale di appoggio'!$P315)</f>
        <v/>
      </c>
      <c r="Q314" s="4" t="s">
        <v>6</v>
      </c>
      <c r="R314" s="4">
        <f t="shared" si="4"/>
        <v>2</v>
      </c>
    </row>
    <row r="315" spans="1:18" ht="31.5" x14ac:dyDescent="0.45">
      <c r="A315" s="9">
        <v>315</v>
      </c>
      <c r="B315" s="2" t="s">
        <v>1717</v>
      </c>
      <c r="C315" s="3" t="s">
        <v>1718</v>
      </c>
      <c r="D315" s="3" t="s">
        <v>181</v>
      </c>
      <c r="E315" s="4">
        <f>IFERROR(INDEX([1]uot!$A$2:$A$40, MATCH("*"&amp;'[1]Personale di appoggio'!$D316&amp;"*", [1]uot!$B$2:$B$40, 0)), "Valore non trovato")</f>
        <v>16</v>
      </c>
      <c r="F315" s="4">
        <f>IF(TRIM('[1]Personale di appoggio'!$F316)=TRIM([1]qualifiche!$E$2),[1]qualifiche!$D$2,
IF(TRIM('[1]Personale di appoggio'!$F316)=TRIM([1]qualifiche!$E$3),[1]qualifiche!$D$3,
IF(TRIM('[1]Personale di appoggio'!$F316)=TRIM([1]qualifiche!$E$4),[1]qualifiche!$D$4,
IF(TRIM('[1]Personale di appoggio'!$F316)=TRIM([1]qualifiche!$E$5),[1]qualifiche!$D$5,
IF(TRIM('[1]Personale di appoggio'!$F316)=TRIM([1]qualifiche!$E$6),[1]qualifiche!$D$6,
IF(TRIM('[1]Personale di appoggio'!$F316)=TRIM([1]qualifiche!$E$7),[1]qualifiche!$D$7,
IF(TRIM('[1]Personale di appoggio'!$F316)=TRIM([1]qualifiche!$E$8),[1]qualifiche!$D$8,
IF(TRIM('[1]Personale di appoggio'!$F316)=TRIM([1]qualifiche!$E$9),[1]qualifiche!$D$9,
IF(TRIM('[1]Personale di appoggio'!$F316)=TRIM([1]qualifiche!$E$10),[1]qualifiche!$D$10,
IF(TRIM('[1]Personale di appoggio'!$F316)=TRIM([1]qualifiche!$E$11),[1]qualifiche!$D$11,""))))))))))</f>
        <v>6</v>
      </c>
      <c r="G315" s="5" t="s">
        <v>1719</v>
      </c>
      <c r="H315" s="5" t="s">
        <v>1720</v>
      </c>
      <c r="I315" s="6" t="s">
        <v>1721</v>
      </c>
      <c r="J315" s="7">
        <f>IF('[1]Personale di appoggio'!J316="X",1,0)</f>
        <v>0</v>
      </c>
      <c r="K315" s="7">
        <f>IF('[1]Personale di appoggio'!K316="X",1,0)</f>
        <v>0</v>
      </c>
      <c r="L315" s="7">
        <f>IF('[1]Personale di appoggio'!L316="X",1,0)</f>
        <v>0</v>
      </c>
      <c r="M315" s="7">
        <f>IF('[1]Personale di appoggio'!M316="X",1,0)</f>
        <v>0</v>
      </c>
      <c r="N315" s="3"/>
      <c r="O315" s="3"/>
      <c r="P315" s="11" t="str">
        <f>IF('[1]Personale di appoggio'!$P316="","",'[1]Personale di appoggio'!$P316)</f>
        <v/>
      </c>
      <c r="Q315" s="4" t="s">
        <v>6</v>
      </c>
      <c r="R315" s="4">
        <f t="shared" si="4"/>
        <v>4</v>
      </c>
    </row>
    <row r="316" spans="1:18" ht="31.5" x14ac:dyDescent="0.45">
      <c r="A316" s="9">
        <v>316</v>
      </c>
      <c r="B316" s="2" t="s">
        <v>1722</v>
      </c>
      <c r="C316" s="3" t="s">
        <v>1723</v>
      </c>
      <c r="D316" s="3" t="s">
        <v>1724</v>
      </c>
      <c r="E316" s="4">
        <f>IFERROR(INDEX([1]uot!$A$2:$A$40, MATCH("*"&amp;'[1]Personale di appoggio'!$D317&amp;"*", [1]uot!$B$2:$B$40, 0)), "Valore non trovato")</f>
        <v>16</v>
      </c>
      <c r="F316" s="4">
        <f>IF(TRIM('[1]Personale di appoggio'!$F317)=TRIM([1]qualifiche!$E$2),[1]qualifiche!$D$2,
IF(TRIM('[1]Personale di appoggio'!$F317)=TRIM([1]qualifiche!$E$3),[1]qualifiche!$D$3,
IF(TRIM('[1]Personale di appoggio'!$F317)=TRIM([1]qualifiche!$E$4),[1]qualifiche!$D$4,
IF(TRIM('[1]Personale di appoggio'!$F317)=TRIM([1]qualifiche!$E$5),[1]qualifiche!$D$5,
IF(TRIM('[1]Personale di appoggio'!$F317)=TRIM([1]qualifiche!$E$6),[1]qualifiche!$D$6,
IF(TRIM('[1]Personale di appoggio'!$F317)=TRIM([1]qualifiche!$E$7),[1]qualifiche!$D$7,
IF(TRIM('[1]Personale di appoggio'!$F317)=TRIM([1]qualifiche!$E$8),[1]qualifiche!$D$8,
IF(TRIM('[1]Personale di appoggio'!$F317)=TRIM([1]qualifiche!$E$9),[1]qualifiche!$D$9,
IF(TRIM('[1]Personale di appoggio'!$F317)=TRIM([1]qualifiche!$E$10),[1]qualifiche!$D$10,
IF(TRIM('[1]Personale di appoggio'!$F317)=TRIM([1]qualifiche!$E$11),[1]qualifiche!$D$11,""))))))))))</f>
        <v>7</v>
      </c>
      <c r="G316" s="5" t="s">
        <v>1725</v>
      </c>
      <c r="H316" s="5" t="s">
        <v>1726</v>
      </c>
      <c r="I316" s="6" t="s">
        <v>1727</v>
      </c>
      <c r="J316" s="7">
        <f>IF('[1]Personale di appoggio'!J317="X",1,0)</f>
        <v>0</v>
      </c>
      <c r="K316" s="7">
        <f>IF('[1]Personale di appoggio'!K317="X",1,0)</f>
        <v>0</v>
      </c>
      <c r="L316" s="7">
        <f>IF('[1]Personale di appoggio'!L317="X",1,0)</f>
        <v>0</v>
      </c>
      <c r="M316" s="7">
        <f>IF('[1]Personale di appoggio'!M317="X",1,0)</f>
        <v>0</v>
      </c>
      <c r="N316" s="3"/>
      <c r="O316" s="3"/>
      <c r="P316" s="11" t="str">
        <f>IF('[1]Personale di appoggio'!$P317="","",'[1]Personale di appoggio'!$P317)</f>
        <v/>
      </c>
      <c r="Q316" s="4" t="s">
        <v>6</v>
      </c>
      <c r="R316" s="4">
        <f t="shared" si="4"/>
        <v>4</v>
      </c>
    </row>
    <row r="317" spans="1:18" ht="31.5" x14ac:dyDescent="0.45">
      <c r="A317" s="9">
        <v>317</v>
      </c>
      <c r="B317" s="2" t="s">
        <v>1728</v>
      </c>
      <c r="C317" s="3" t="s">
        <v>1729</v>
      </c>
      <c r="D317" s="3" t="s">
        <v>1730</v>
      </c>
      <c r="E317" s="4">
        <f>IFERROR(INDEX([1]uot!$A$2:$A$40, MATCH("*"&amp;'[1]Personale di appoggio'!$D318&amp;"*", [1]uot!$B$2:$B$40, 0)), "Valore non trovato")</f>
        <v>16</v>
      </c>
      <c r="F317" s="4">
        <f>IF(TRIM('[1]Personale di appoggio'!$F318)=TRIM([1]qualifiche!$E$2),[1]qualifiche!$D$2,
IF(TRIM('[1]Personale di appoggio'!$F318)=TRIM([1]qualifiche!$E$3),[1]qualifiche!$D$3,
IF(TRIM('[1]Personale di appoggio'!$F318)=TRIM([1]qualifiche!$E$4),[1]qualifiche!$D$4,
IF(TRIM('[1]Personale di appoggio'!$F318)=TRIM([1]qualifiche!$E$5),[1]qualifiche!$D$5,
IF(TRIM('[1]Personale di appoggio'!$F318)=TRIM([1]qualifiche!$E$6),[1]qualifiche!$D$6,
IF(TRIM('[1]Personale di appoggio'!$F318)=TRIM([1]qualifiche!$E$7),[1]qualifiche!$D$7,
IF(TRIM('[1]Personale di appoggio'!$F318)=TRIM([1]qualifiche!$E$8),[1]qualifiche!$D$8,
IF(TRIM('[1]Personale di appoggio'!$F318)=TRIM([1]qualifiche!$E$9),[1]qualifiche!$D$9,
IF(TRIM('[1]Personale di appoggio'!$F318)=TRIM([1]qualifiche!$E$10),[1]qualifiche!$D$10,
IF(TRIM('[1]Personale di appoggio'!$F318)=TRIM([1]qualifiche!$E$11),[1]qualifiche!$D$11,""))))))))))</f>
        <v>7</v>
      </c>
      <c r="G317" s="5" t="s">
        <v>1731</v>
      </c>
      <c r="H317" s="5" t="s">
        <v>1732</v>
      </c>
      <c r="I317" s="6" t="s">
        <v>1733</v>
      </c>
      <c r="J317" s="7">
        <f>IF('[1]Personale di appoggio'!J318="X",1,0)</f>
        <v>0</v>
      </c>
      <c r="K317" s="7">
        <f>IF('[1]Personale di appoggio'!K318="X",1,0)</f>
        <v>0</v>
      </c>
      <c r="L317" s="7">
        <f>IF('[1]Personale di appoggio'!L318="X",1,0)</f>
        <v>0</v>
      </c>
      <c r="M317" s="7">
        <f>IF('[1]Personale di appoggio'!M318="X",1,0)</f>
        <v>0</v>
      </c>
      <c r="N317" s="3"/>
      <c r="O317" s="3"/>
      <c r="P317" s="11" t="str">
        <f>IF('[1]Personale di appoggio'!$P318="","",'[1]Personale di appoggio'!$P318)</f>
        <v/>
      </c>
      <c r="Q317" s="4" t="s">
        <v>6</v>
      </c>
      <c r="R317" s="4">
        <f t="shared" si="4"/>
        <v>4</v>
      </c>
    </row>
    <row r="318" spans="1:18" ht="31.5" x14ac:dyDescent="0.45">
      <c r="A318" s="9">
        <v>318</v>
      </c>
      <c r="B318" s="2" t="s">
        <v>1734</v>
      </c>
      <c r="C318" s="3" t="s">
        <v>1735</v>
      </c>
      <c r="D318" s="3" t="s">
        <v>150</v>
      </c>
      <c r="E318" s="4">
        <f>IFERROR(INDEX([1]uot!$A$2:$A$40, MATCH("*"&amp;'[1]Personale di appoggio'!$D319&amp;"*", [1]uot!$B$2:$B$40, 0)), "Valore non trovato")</f>
        <v>16</v>
      </c>
      <c r="F318" s="4">
        <f>IF(TRIM('[1]Personale di appoggio'!$F319)=TRIM([1]qualifiche!$E$2),[1]qualifiche!$D$2,
IF(TRIM('[1]Personale di appoggio'!$F319)=TRIM([1]qualifiche!$E$3),[1]qualifiche!$D$3,
IF(TRIM('[1]Personale di appoggio'!$F319)=TRIM([1]qualifiche!$E$4),[1]qualifiche!$D$4,
IF(TRIM('[1]Personale di appoggio'!$F319)=TRIM([1]qualifiche!$E$5),[1]qualifiche!$D$5,
IF(TRIM('[1]Personale di appoggio'!$F319)=TRIM([1]qualifiche!$E$6),[1]qualifiche!$D$6,
IF(TRIM('[1]Personale di appoggio'!$F319)=TRIM([1]qualifiche!$E$7),[1]qualifiche!$D$7,
IF(TRIM('[1]Personale di appoggio'!$F319)=TRIM([1]qualifiche!$E$8),[1]qualifiche!$D$8,
IF(TRIM('[1]Personale di appoggio'!$F319)=TRIM([1]qualifiche!$E$9),[1]qualifiche!$D$9,
IF(TRIM('[1]Personale di appoggio'!$F319)=TRIM([1]qualifiche!$E$10),[1]qualifiche!$D$10,
IF(TRIM('[1]Personale di appoggio'!$F319)=TRIM([1]qualifiche!$E$11),[1]qualifiche!$D$11,""))))))))))</f>
        <v>7</v>
      </c>
      <c r="G318" s="5" t="s">
        <v>1736</v>
      </c>
      <c r="H318" s="5" t="s">
        <v>1737</v>
      </c>
      <c r="I318" s="6" t="s">
        <v>1738</v>
      </c>
      <c r="J318" s="7">
        <f>IF('[1]Personale di appoggio'!J319="X",1,0)</f>
        <v>0</v>
      </c>
      <c r="K318" s="7">
        <f>IF('[1]Personale di appoggio'!K319="X",1,0)</f>
        <v>0</v>
      </c>
      <c r="L318" s="7">
        <f>IF('[1]Personale di appoggio'!L319="X",1,0)</f>
        <v>0</v>
      </c>
      <c r="M318" s="7">
        <f>IF('[1]Personale di appoggio'!M319="X",1,0)</f>
        <v>0</v>
      </c>
      <c r="N318" s="3"/>
      <c r="O318" s="3"/>
      <c r="P318" s="11" t="str">
        <f>IF('[1]Personale di appoggio'!$P319="","",'[1]Personale di appoggio'!$P319)</f>
        <v/>
      </c>
      <c r="Q318" s="4" t="s">
        <v>6</v>
      </c>
      <c r="R318" s="4">
        <f t="shared" si="4"/>
        <v>4</v>
      </c>
    </row>
    <row r="319" spans="1:18" ht="31.5" x14ac:dyDescent="0.45">
      <c r="A319" s="9">
        <v>319</v>
      </c>
      <c r="B319" s="2" t="s">
        <v>1739</v>
      </c>
      <c r="C319" s="3" t="s">
        <v>1740</v>
      </c>
      <c r="D319" s="3" t="s">
        <v>256</v>
      </c>
      <c r="E319" s="4">
        <f>IFERROR(INDEX([1]uot!$A$2:$A$40, MATCH("*"&amp;'[1]Personale di appoggio'!$D320&amp;"*", [1]uot!$B$2:$B$40, 0)), "Valore non trovato")</f>
        <v>16</v>
      </c>
      <c r="F319" s="4">
        <f>IF(TRIM('[1]Personale di appoggio'!$F320)=TRIM([1]qualifiche!$E$2),[1]qualifiche!$D$2,
IF(TRIM('[1]Personale di appoggio'!$F320)=TRIM([1]qualifiche!$E$3),[1]qualifiche!$D$3,
IF(TRIM('[1]Personale di appoggio'!$F320)=TRIM([1]qualifiche!$E$4),[1]qualifiche!$D$4,
IF(TRIM('[1]Personale di appoggio'!$F320)=TRIM([1]qualifiche!$E$5),[1]qualifiche!$D$5,
IF(TRIM('[1]Personale di appoggio'!$F320)=TRIM([1]qualifiche!$E$6),[1]qualifiche!$D$6,
IF(TRIM('[1]Personale di appoggio'!$F320)=TRIM([1]qualifiche!$E$7),[1]qualifiche!$D$7,
IF(TRIM('[1]Personale di appoggio'!$F320)=TRIM([1]qualifiche!$E$8),[1]qualifiche!$D$8,
IF(TRIM('[1]Personale di appoggio'!$F320)=TRIM([1]qualifiche!$E$9),[1]qualifiche!$D$9,
IF(TRIM('[1]Personale di appoggio'!$F320)=TRIM([1]qualifiche!$E$10),[1]qualifiche!$D$10,
IF(TRIM('[1]Personale di appoggio'!$F320)=TRIM([1]qualifiche!$E$11),[1]qualifiche!$D$11,""))))))))))</f>
        <v>8</v>
      </c>
      <c r="G319" s="5" t="s">
        <v>1741</v>
      </c>
      <c r="H319" s="5" t="s">
        <v>1742</v>
      </c>
      <c r="I319" s="6" t="s">
        <v>1743</v>
      </c>
      <c r="J319" s="7">
        <f>IF('[1]Personale di appoggio'!J320="X",1,0)</f>
        <v>0</v>
      </c>
      <c r="K319" s="7">
        <f>IF('[1]Personale di appoggio'!K320="X",1,0)</f>
        <v>0</v>
      </c>
      <c r="L319" s="7">
        <f>IF('[1]Personale di appoggio'!L320="X",1,0)</f>
        <v>0</v>
      </c>
      <c r="M319" s="7">
        <f>IF('[1]Personale di appoggio'!M320="X",1,0)</f>
        <v>0</v>
      </c>
      <c r="N319" s="3"/>
      <c r="O319" s="3"/>
      <c r="P319" s="11" t="str">
        <f>IF('[1]Personale di appoggio'!$P320="","",'[1]Personale di appoggio'!$P320)</f>
        <v/>
      </c>
      <c r="Q319" s="4" t="s">
        <v>6</v>
      </c>
      <c r="R319" s="4">
        <f t="shared" si="4"/>
        <v>4</v>
      </c>
    </row>
    <row r="320" spans="1:18" ht="31.5" x14ac:dyDescent="0.45">
      <c r="A320" s="9">
        <v>320</v>
      </c>
      <c r="B320" s="2" t="s">
        <v>1744</v>
      </c>
      <c r="C320" s="3" t="s">
        <v>1745</v>
      </c>
      <c r="D320" s="3" t="s">
        <v>1746</v>
      </c>
      <c r="E320" s="4">
        <f>IFERROR(INDEX([1]uot!$A$2:$A$40, MATCH("*"&amp;'[1]Personale di appoggio'!$D321&amp;"*", [1]uot!$B$2:$B$40, 0)), "Valore non trovato")</f>
        <v>16</v>
      </c>
      <c r="F320" s="4">
        <f>IF(TRIM('[1]Personale di appoggio'!$F321)=TRIM([1]qualifiche!$E$2),[1]qualifiche!$D$2,
IF(TRIM('[1]Personale di appoggio'!$F321)=TRIM([1]qualifiche!$E$3),[1]qualifiche!$D$3,
IF(TRIM('[1]Personale di appoggio'!$F321)=TRIM([1]qualifiche!$E$4),[1]qualifiche!$D$4,
IF(TRIM('[1]Personale di appoggio'!$F321)=TRIM([1]qualifiche!$E$5),[1]qualifiche!$D$5,
IF(TRIM('[1]Personale di appoggio'!$F321)=TRIM([1]qualifiche!$E$6),[1]qualifiche!$D$6,
IF(TRIM('[1]Personale di appoggio'!$F321)=TRIM([1]qualifiche!$E$7),[1]qualifiche!$D$7,
IF(TRIM('[1]Personale di appoggio'!$F321)=TRIM([1]qualifiche!$E$8),[1]qualifiche!$D$8,
IF(TRIM('[1]Personale di appoggio'!$F321)=TRIM([1]qualifiche!$E$9),[1]qualifiche!$D$9,
IF(TRIM('[1]Personale di appoggio'!$F321)=TRIM([1]qualifiche!$E$10),[1]qualifiche!$D$10,
IF(TRIM('[1]Personale di appoggio'!$F321)=TRIM([1]qualifiche!$E$11),[1]qualifiche!$D$11,""))))))))))</f>
        <v>2</v>
      </c>
      <c r="G320" s="5" t="s">
        <v>1747</v>
      </c>
      <c r="H320" s="5" t="s">
        <v>1748</v>
      </c>
      <c r="I320" s="6" t="s">
        <v>1749</v>
      </c>
      <c r="J320" s="7">
        <f>IF('[1]Personale di appoggio'!J321="X",1,0)</f>
        <v>1</v>
      </c>
      <c r="K320" s="7">
        <f>IF('[1]Personale di appoggio'!K321="X",1,0)</f>
        <v>1</v>
      </c>
      <c r="L320" s="7">
        <f>IF('[1]Personale di appoggio'!L321="X",1,0)</f>
        <v>0</v>
      </c>
      <c r="M320" s="7">
        <f>IF('[1]Personale di appoggio'!M321="X",1,0)</f>
        <v>0</v>
      </c>
      <c r="N320" s="3"/>
      <c r="O320" s="3"/>
      <c r="P320" s="11" t="str">
        <f>IF('[1]Personale di appoggio'!$P321="","",'[1]Personale di appoggio'!$P321)</f>
        <v/>
      </c>
      <c r="Q320" s="4" t="s">
        <v>6</v>
      </c>
      <c r="R320" s="4">
        <f t="shared" si="4"/>
        <v>2</v>
      </c>
    </row>
    <row r="321" spans="1:18" ht="31.5" x14ac:dyDescent="0.45">
      <c r="A321" s="9">
        <v>321</v>
      </c>
      <c r="B321" s="2" t="s">
        <v>1750</v>
      </c>
      <c r="C321" s="3" t="s">
        <v>1751</v>
      </c>
      <c r="D321" s="3" t="s">
        <v>1752</v>
      </c>
      <c r="E321" s="4">
        <f>IFERROR(INDEX([1]uot!$A$2:$A$40, MATCH("*"&amp;'[1]Personale di appoggio'!$D322&amp;"*", [1]uot!$B$2:$B$40, 0)), "Valore non trovato")</f>
        <v>16</v>
      </c>
      <c r="F321" s="4">
        <f>IF(TRIM('[1]Personale di appoggio'!$F322)=TRIM([1]qualifiche!$E$2),[1]qualifiche!$D$2,
IF(TRIM('[1]Personale di appoggio'!$F322)=TRIM([1]qualifiche!$E$3),[1]qualifiche!$D$3,
IF(TRIM('[1]Personale di appoggio'!$F322)=TRIM([1]qualifiche!$E$4),[1]qualifiche!$D$4,
IF(TRIM('[1]Personale di appoggio'!$F322)=TRIM([1]qualifiche!$E$5),[1]qualifiche!$D$5,
IF(TRIM('[1]Personale di appoggio'!$F322)=TRIM([1]qualifiche!$E$6),[1]qualifiche!$D$6,
IF(TRIM('[1]Personale di appoggio'!$F322)=TRIM([1]qualifiche!$E$7),[1]qualifiche!$D$7,
IF(TRIM('[1]Personale di appoggio'!$F322)=TRIM([1]qualifiche!$E$8),[1]qualifiche!$D$8,
IF(TRIM('[1]Personale di appoggio'!$F322)=TRIM([1]qualifiche!$E$9),[1]qualifiche!$D$9,
IF(TRIM('[1]Personale di appoggio'!$F322)=TRIM([1]qualifiche!$E$10),[1]qualifiche!$D$10,
IF(TRIM('[1]Personale di appoggio'!$F322)=TRIM([1]qualifiche!$E$11),[1]qualifiche!$D$11,""))))))))))</f>
        <v>2</v>
      </c>
      <c r="G321" s="5" t="s">
        <v>1753</v>
      </c>
      <c r="H321" s="5" t="s">
        <v>1754</v>
      </c>
      <c r="I321" s="6" t="s">
        <v>1755</v>
      </c>
      <c r="J321" s="7">
        <f>IF('[1]Personale di appoggio'!J322="X",1,0)</f>
        <v>0</v>
      </c>
      <c r="K321" s="7">
        <f>IF('[1]Personale di appoggio'!K322="X",1,0)</f>
        <v>0</v>
      </c>
      <c r="L321" s="7">
        <f>IF('[1]Personale di appoggio'!L322="X",1,0)</f>
        <v>0</v>
      </c>
      <c r="M321" s="7">
        <f>IF('[1]Personale di appoggio'!M322="X",1,0)</f>
        <v>0</v>
      </c>
      <c r="N321" s="3"/>
      <c r="O321" s="3"/>
      <c r="P321" s="11" t="str">
        <f>IF('[1]Personale di appoggio'!$P322="","",'[1]Personale di appoggio'!$P322)</f>
        <v/>
      </c>
      <c r="Q321" s="4" t="s">
        <v>6</v>
      </c>
      <c r="R321" s="4">
        <f t="shared" si="4"/>
        <v>4</v>
      </c>
    </row>
    <row r="322" spans="1:18" ht="141.75" x14ac:dyDescent="0.45">
      <c r="A322" s="9">
        <v>322</v>
      </c>
      <c r="B322" s="2" t="s">
        <v>1756</v>
      </c>
      <c r="C322" s="3" t="s">
        <v>1757</v>
      </c>
      <c r="D322" s="3" t="s">
        <v>1758</v>
      </c>
      <c r="E322" s="4">
        <f>IFERROR(INDEX([1]uot!$A$2:$A$40, MATCH("*"&amp;'[1]Personale di appoggio'!$D323&amp;"*", [1]uot!$B$2:$B$40, 0)), "Valore non trovato")</f>
        <v>25</v>
      </c>
      <c r="F322" s="4">
        <f>IF(TRIM('[1]Personale di appoggio'!$F323)=TRIM([1]qualifiche!$E$2),[1]qualifiche!$D$2,
IF(TRIM('[1]Personale di appoggio'!$F323)=TRIM([1]qualifiche!$E$3),[1]qualifiche!$D$3,
IF(TRIM('[1]Personale di appoggio'!$F323)=TRIM([1]qualifiche!$E$4),[1]qualifiche!$D$4,
IF(TRIM('[1]Personale di appoggio'!$F323)=TRIM([1]qualifiche!$E$5),[1]qualifiche!$D$5,
IF(TRIM('[1]Personale di appoggio'!$F323)=TRIM([1]qualifiche!$E$6),[1]qualifiche!$D$6,
IF(TRIM('[1]Personale di appoggio'!$F323)=TRIM([1]qualifiche!$E$7),[1]qualifiche!$D$7,
IF(TRIM('[1]Personale di appoggio'!$F323)=TRIM([1]qualifiche!$E$8),[1]qualifiche!$D$8,
IF(TRIM('[1]Personale di appoggio'!$F323)=TRIM([1]qualifiche!$E$9),[1]qualifiche!$D$9,
IF(TRIM('[1]Personale di appoggio'!$F323)=TRIM([1]qualifiche!$E$10),[1]qualifiche!$D$10,
IF(TRIM('[1]Personale di appoggio'!$F323)=TRIM([1]qualifiche!$E$11),[1]qualifiche!$D$11,""))))))))))</f>
        <v>1</v>
      </c>
      <c r="G322" s="5" t="s">
        <v>1759</v>
      </c>
      <c r="H322" s="5" t="s">
        <v>1760</v>
      </c>
      <c r="I322" s="6" t="s">
        <v>1761</v>
      </c>
      <c r="J322" s="7">
        <f>IF('[1]Personale di appoggio'!J323="X",1,0)</f>
        <v>1</v>
      </c>
      <c r="K322" s="7">
        <f>IF('[1]Personale di appoggio'!K323="X",1,0)</f>
        <v>1</v>
      </c>
      <c r="L322" s="7">
        <f>IF('[1]Personale di appoggio'!L323="X",1,0)</f>
        <v>0</v>
      </c>
      <c r="M322" s="7">
        <f>IF('[1]Personale di appoggio'!M323="X",1,0)</f>
        <v>0</v>
      </c>
      <c r="N322" s="3"/>
      <c r="O322" s="3"/>
      <c r="P322" s="11" t="str">
        <f>IF('[1]Personale di appoggio'!$P323="","",'[1]Personale di appoggio'!$P323)</f>
        <v xml:space="preserve">SOLLEVAMENTO: Apparecchi di sollevamento materiali e persone </v>
      </c>
      <c r="Q322" s="4" t="s">
        <v>6</v>
      </c>
      <c r="R322" s="4">
        <f t="shared" ref="R322:R355" si="5">IF(COUNTIF($J322:$M322,"1")= 4, 1, IF(COUNTIF($J322:$M322,"1")&gt;0,2,4))</f>
        <v>2</v>
      </c>
    </row>
    <row r="323" spans="1:18" ht="110.25" x14ac:dyDescent="0.45">
      <c r="A323" s="9">
        <v>323</v>
      </c>
      <c r="B323" s="2" t="s">
        <v>1762</v>
      </c>
      <c r="C323" s="3" t="s">
        <v>1763</v>
      </c>
      <c r="D323" s="3" t="s">
        <v>69</v>
      </c>
      <c r="E323" s="4">
        <f>IFERROR(INDEX([1]uot!$A$2:$A$40, MATCH("*"&amp;'[1]Personale di appoggio'!$D324&amp;"*", [1]uot!$B$2:$B$40, 0)), "Valore non trovato")</f>
        <v>25</v>
      </c>
      <c r="F323" s="4">
        <f>IF(TRIM('[1]Personale di appoggio'!$F324)=TRIM([1]qualifiche!$E$2),[1]qualifiche!$D$2,
IF(TRIM('[1]Personale di appoggio'!$F324)=TRIM([1]qualifiche!$E$3),[1]qualifiche!$D$3,
IF(TRIM('[1]Personale di appoggio'!$F324)=TRIM([1]qualifiche!$E$4),[1]qualifiche!$D$4,
IF(TRIM('[1]Personale di appoggio'!$F324)=TRIM([1]qualifiche!$E$5),[1]qualifiche!$D$5,
IF(TRIM('[1]Personale di appoggio'!$F324)=TRIM([1]qualifiche!$E$6),[1]qualifiche!$D$6,
IF(TRIM('[1]Personale di appoggio'!$F324)=TRIM([1]qualifiche!$E$7),[1]qualifiche!$D$7,
IF(TRIM('[1]Personale di appoggio'!$F324)=TRIM([1]qualifiche!$E$8),[1]qualifiche!$D$8,
IF(TRIM('[1]Personale di appoggio'!$F324)=TRIM([1]qualifiche!$E$9),[1]qualifiche!$D$9,
IF(TRIM('[1]Personale di appoggio'!$F324)=TRIM([1]qualifiche!$E$10),[1]qualifiche!$D$10,
IF(TRIM('[1]Personale di appoggio'!$F324)=TRIM([1]qualifiche!$E$11),[1]qualifiche!$D$11,""))))))))))</f>
        <v>2</v>
      </c>
      <c r="G323" s="5" t="s">
        <v>1764</v>
      </c>
      <c r="H323" s="5" t="s">
        <v>1765</v>
      </c>
      <c r="I323" s="6" t="s">
        <v>1766</v>
      </c>
      <c r="J323" s="7">
        <f>IF('[1]Personale di appoggio'!J324="X",1,0)</f>
        <v>0</v>
      </c>
      <c r="K323" s="7">
        <f>IF('[1]Personale di appoggio'!K324="X",1,0)</f>
        <v>1</v>
      </c>
      <c r="L323" s="7">
        <f>IF('[1]Personale di appoggio'!L324="X",1,0)</f>
        <v>0</v>
      </c>
      <c r="M323" s="7">
        <f>IF('[1]Personale di appoggio'!M324="X",1,0)</f>
        <v>0</v>
      </c>
      <c r="N323" s="3"/>
      <c r="O323" s="3"/>
      <c r="P323" s="11" t="str">
        <f>IF('[1]Personale di appoggio'!$P324="","",'[1]Personale di appoggio'!$P324)</f>
        <v>SOLLEVAMENTO: Apparecchi di sollevamento materiali</v>
      </c>
      <c r="Q323" s="4" t="s">
        <v>6</v>
      </c>
      <c r="R323" s="4">
        <f t="shared" si="5"/>
        <v>2</v>
      </c>
    </row>
    <row r="324" spans="1:18" ht="31.5" x14ac:dyDescent="0.45">
      <c r="A324" s="9">
        <v>324</v>
      </c>
      <c r="B324" s="2" t="s">
        <v>1767</v>
      </c>
      <c r="C324" s="3" t="s">
        <v>1768</v>
      </c>
      <c r="D324" s="3" t="s">
        <v>632</v>
      </c>
      <c r="E324" s="4">
        <f>IFERROR(INDEX([1]uot!$A$2:$A$40, MATCH("*"&amp;'[1]Personale di appoggio'!$D325&amp;"*", [1]uot!$B$2:$B$40, 0)), "Valore non trovato")</f>
        <v>25</v>
      </c>
      <c r="F324" s="4">
        <f>IF(TRIM('[1]Personale di appoggio'!$F325)=TRIM([1]qualifiche!$E$2),[1]qualifiche!$D$2,
IF(TRIM('[1]Personale di appoggio'!$F325)=TRIM([1]qualifiche!$E$3),[1]qualifiche!$D$3,
IF(TRIM('[1]Personale di appoggio'!$F325)=TRIM([1]qualifiche!$E$4),[1]qualifiche!$D$4,
IF(TRIM('[1]Personale di appoggio'!$F325)=TRIM([1]qualifiche!$E$5),[1]qualifiche!$D$5,
IF(TRIM('[1]Personale di appoggio'!$F325)=TRIM([1]qualifiche!$E$6),[1]qualifiche!$D$6,
IF(TRIM('[1]Personale di appoggio'!$F325)=TRIM([1]qualifiche!$E$7),[1]qualifiche!$D$7,
IF(TRIM('[1]Personale di appoggio'!$F325)=TRIM([1]qualifiche!$E$8),[1]qualifiche!$D$8,
IF(TRIM('[1]Personale di appoggio'!$F325)=TRIM([1]qualifiche!$E$9),[1]qualifiche!$D$9,
IF(TRIM('[1]Personale di appoggio'!$F325)=TRIM([1]qualifiche!$E$10),[1]qualifiche!$D$10,
IF(TRIM('[1]Personale di appoggio'!$F325)=TRIM([1]qualifiche!$E$11),[1]qualifiche!$D$11,""))))))))))</f>
        <v>2</v>
      </c>
      <c r="G324" s="5" t="s">
        <v>1769</v>
      </c>
      <c r="H324" s="5" t="s">
        <v>1770</v>
      </c>
      <c r="I324" s="6" t="s">
        <v>1771</v>
      </c>
      <c r="J324" s="7">
        <f>IF('[1]Personale di appoggio'!J325="X",1,0)</f>
        <v>0</v>
      </c>
      <c r="K324" s="7">
        <f>IF('[1]Personale di appoggio'!K325="X",1,0)</f>
        <v>0</v>
      </c>
      <c r="L324" s="7">
        <f>IF('[1]Personale di appoggio'!L325="X",1,0)</f>
        <v>0</v>
      </c>
      <c r="M324" s="7">
        <f>IF('[1]Personale di appoggio'!M325="X",1,0)</f>
        <v>1</v>
      </c>
      <c r="N324" s="3"/>
      <c r="O324" s="3"/>
      <c r="P324" s="11" t="str">
        <f>IF('[1]Personale di appoggio'!$P325="","",'[1]Personale di appoggio'!$P325)</f>
        <v/>
      </c>
      <c r="Q324" s="4" t="s">
        <v>6</v>
      </c>
      <c r="R324" s="4">
        <f t="shared" si="5"/>
        <v>2</v>
      </c>
    </row>
    <row r="325" spans="1:18" ht="31.5" x14ac:dyDescent="0.45">
      <c r="A325" s="9">
        <v>325</v>
      </c>
      <c r="B325" s="2" t="s">
        <v>1772</v>
      </c>
      <c r="C325" s="3" t="s">
        <v>1773</v>
      </c>
      <c r="D325" s="3" t="s">
        <v>69</v>
      </c>
      <c r="E325" s="4">
        <f>IFERROR(INDEX([1]uot!$A$2:$A$40, MATCH("*"&amp;'[1]Personale di appoggio'!$D326&amp;"*", [1]uot!$B$2:$B$40, 0)), "Valore non trovato")</f>
        <v>25</v>
      </c>
      <c r="F325" s="4">
        <f>IF(TRIM('[1]Personale di appoggio'!$F326)=TRIM([1]qualifiche!$E$2),[1]qualifiche!$D$2,
IF(TRIM('[1]Personale di appoggio'!$F326)=TRIM([1]qualifiche!$E$3),[1]qualifiche!$D$3,
IF(TRIM('[1]Personale di appoggio'!$F326)=TRIM([1]qualifiche!$E$4),[1]qualifiche!$D$4,
IF(TRIM('[1]Personale di appoggio'!$F326)=TRIM([1]qualifiche!$E$5),[1]qualifiche!$D$5,
IF(TRIM('[1]Personale di appoggio'!$F326)=TRIM([1]qualifiche!$E$6),[1]qualifiche!$D$6,
IF(TRIM('[1]Personale di appoggio'!$F326)=TRIM([1]qualifiche!$E$7),[1]qualifiche!$D$7,
IF(TRIM('[1]Personale di appoggio'!$F326)=TRIM([1]qualifiche!$E$8),[1]qualifiche!$D$8,
IF(TRIM('[1]Personale di appoggio'!$F326)=TRIM([1]qualifiche!$E$9),[1]qualifiche!$D$9,
IF(TRIM('[1]Personale di appoggio'!$F326)=TRIM([1]qualifiche!$E$10),[1]qualifiche!$D$10,
IF(TRIM('[1]Personale di appoggio'!$F326)=TRIM([1]qualifiche!$E$11),[1]qualifiche!$D$11,""))))))))))</f>
        <v>4</v>
      </c>
      <c r="G325" s="5" t="s">
        <v>1774</v>
      </c>
      <c r="H325" s="5" t="s">
        <v>1775</v>
      </c>
      <c r="I325" s="6" t="s">
        <v>1776</v>
      </c>
      <c r="J325" s="7">
        <f>IF('[1]Personale di appoggio'!J326="X",1,0)</f>
        <v>0</v>
      </c>
      <c r="K325" s="7">
        <f>IF('[1]Personale di appoggio'!K326="X",1,0)</f>
        <v>0</v>
      </c>
      <c r="L325" s="7">
        <f>IF('[1]Personale di appoggio'!L326="X",1,0)</f>
        <v>1</v>
      </c>
      <c r="M325" s="7">
        <f>IF('[1]Personale di appoggio'!M326="X",1,0)</f>
        <v>0</v>
      </c>
      <c r="N325" s="3"/>
      <c r="O325" s="3"/>
      <c r="P325" s="11" t="str">
        <f>IF('[1]Personale di appoggio'!$P326="","",'[1]Personale di appoggio'!$P326)</f>
        <v/>
      </c>
      <c r="Q325" s="4" t="s">
        <v>6</v>
      </c>
      <c r="R325" s="4">
        <f t="shared" si="5"/>
        <v>2</v>
      </c>
    </row>
    <row r="326" spans="1:18" ht="157.5" x14ac:dyDescent="0.45">
      <c r="A326" s="9">
        <v>326</v>
      </c>
      <c r="B326" s="2" t="s">
        <v>1777</v>
      </c>
      <c r="C326" s="3" t="s">
        <v>1778</v>
      </c>
      <c r="D326" s="3" t="s">
        <v>1779</v>
      </c>
      <c r="E326" s="4">
        <f>IFERROR(INDEX([1]uot!$A$2:$A$40, MATCH("*"&amp;'[1]Personale di appoggio'!$D327&amp;"*", [1]uot!$B$2:$B$40, 0)), "Valore non trovato")</f>
        <v>25</v>
      </c>
      <c r="F326" s="4">
        <f>IF(TRIM('[1]Personale di appoggio'!$F327)=TRIM([1]qualifiche!$E$2),[1]qualifiche!$D$2,
IF(TRIM('[1]Personale di appoggio'!$F327)=TRIM([1]qualifiche!$E$3),[1]qualifiche!$D$3,
IF(TRIM('[1]Personale di appoggio'!$F327)=TRIM([1]qualifiche!$E$4),[1]qualifiche!$D$4,
IF(TRIM('[1]Personale di appoggio'!$F327)=TRIM([1]qualifiche!$E$5),[1]qualifiche!$D$5,
IF(TRIM('[1]Personale di appoggio'!$F327)=TRIM([1]qualifiche!$E$6),[1]qualifiche!$D$6,
IF(TRIM('[1]Personale di appoggio'!$F327)=TRIM([1]qualifiche!$E$7),[1]qualifiche!$D$7,
IF(TRIM('[1]Personale di appoggio'!$F327)=TRIM([1]qualifiche!$E$8),[1]qualifiche!$D$8,
IF(TRIM('[1]Personale di appoggio'!$F327)=TRIM([1]qualifiche!$E$9),[1]qualifiche!$D$9,
IF(TRIM('[1]Personale di appoggio'!$F327)=TRIM([1]qualifiche!$E$10),[1]qualifiche!$D$10,
IF(TRIM('[1]Personale di appoggio'!$F327)=TRIM([1]qualifiche!$E$11),[1]qualifiche!$D$11,""))))))))))</f>
        <v>4</v>
      </c>
      <c r="G326" s="5" t="s">
        <v>1780</v>
      </c>
      <c r="H326" s="5" t="s">
        <v>1781</v>
      </c>
      <c r="I326" s="6" t="s">
        <v>1782</v>
      </c>
      <c r="J326" s="7">
        <f>IF('[1]Personale di appoggio'!J327="X",1,0)</f>
        <v>1</v>
      </c>
      <c r="K326" s="7">
        <f>IF('[1]Personale di appoggio'!K327="X",1,0)</f>
        <v>0</v>
      </c>
      <c r="L326" s="7">
        <f>IF('[1]Personale di appoggio'!L327="X",1,0)</f>
        <v>0</v>
      </c>
      <c r="M326" s="7">
        <f>IF('[1]Personale di appoggio'!M327="X",1,0)</f>
        <v>0</v>
      </c>
      <c r="N326" s="3"/>
      <c r="O326" s="3"/>
      <c r="P326" s="11" t="str">
        <f>IF('[1]Personale di appoggio'!$P327="","",'[1]Personale di appoggio'!$P327)</f>
        <v>PRESSIONE: limitatatmente alle tipologie e installazioni più semplici</v>
      </c>
      <c r="Q326" s="4" t="s">
        <v>6</v>
      </c>
      <c r="R326" s="4">
        <f t="shared" si="5"/>
        <v>2</v>
      </c>
    </row>
    <row r="327" spans="1:18" ht="31.5" x14ac:dyDescent="0.45">
      <c r="A327" s="9">
        <v>327</v>
      </c>
      <c r="B327" s="2" t="s">
        <v>1783</v>
      </c>
      <c r="C327" s="3" t="s">
        <v>1784</v>
      </c>
      <c r="D327" s="3" t="s">
        <v>1785</v>
      </c>
      <c r="E327" s="4">
        <f>IFERROR(INDEX([1]uot!$A$2:$A$40, MATCH("*"&amp;'[1]Personale di appoggio'!$D328&amp;"*", [1]uot!$B$2:$B$40, 0)), "Valore non trovato")</f>
        <v>25</v>
      </c>
      <c r="F327" s="4">
        <f>IF(TRIM('[1]Personale di appoggio'!$F328)=TRIM([1]qualifiche!$E$2),[1]qualifiche!$D$2,
IF(TRIM('[1]Personale di appoggio'!$F328)=TRIM([1]qualifiche!$E$3),[1]qualifiche!$D$3,
IF(TRIM('[1]Personale di appoggio'!$F328)=TRIM([1]qualifiche!$E$4),[1]qualifiche!$D$4,
IF(TRIM('[1]Personale di appoggio'!$F328)=TRIM([1]qualifiche!$E$5),[1]qualifiche!$D$5,
IF(TRIM('[1]Personale di appoggio'!$F328)=TRIM([1]qualifiche!$E$6),[1]qualifiche!$D$6,
IF(TRIM('[1]Personale di appoggio'!$F328)=TRIM([1]qualifiche!$E$7),[1]qualifiche!$D$7,
IF(TRIM('[1]Personale di appoggio'!$F328)=TRIM([1]qualifiche!$E$8),[1]qualifiche!$D$8,
IF(TRIM('[1]Personale di appoggio'!$F328)=TRIM([1]qualifiche!$E$9),[1]qualifiche!$D$9,
IF(TRIM('[1]Personale di appoggio'!$F328)=TRIM([1]qualifiche!$E$10),[1]qualifiche!$D$10,
IF(TRIM('[1]Personale di appoggio'!$F328)=TRIM([1]qualifiche!$E$11),[1]qualifiche!$D$11,""))))))))))</f>
        <v>7</v>
      </c>
      <c r="G327" s="5" t="s">
        <v>1786</v>
      </c>
      <c r="H327" s="5" t="s">
        <v>1787</v>
      </c>
      <c r="I327" s="6" t="s">
        <v>1788</v>
      </c>
      <c r="J327" s="7">
        <f>IF('[1]Personale di appoggio'!J328="X",1,0)</f>
        <v>0</v>
      </c>
      <c r="K327" s="7">
        <f>IF('[1]Personale di appoggio'!K328="X",1,0)</f>
        <v>0</v>
      </c>
      <c r="L327" s="7">
        <f>IF('[1]Personale di appoggio'!L328="X",1,0)</f>
        <v>0</v>
      </c>
      <c r="M327" s="7">
        <f>IF('[1]Personale di appoggio'!M328="X",1,0)</f>
        <v>0</v>
      </c>
      <c r="N327" s="3"/>
      <c r="O327" s="3"/>
      <c r="P327" s="11" t="str">
        <f>IF('[1]Personale di appoggio'!$P328="","",'[1]Personale di appoggio'!$P328)</f>
        <v/>
      </c>
      <c r="Q327" s="4" t="s">
        <v>6</v>
      </c>
      <c r="R327" s="4">
        <f t="shared" si="5"/>
        <v>4</v>
      </c>
    </row>
    <row r="328" spans="1:18" ht="42.75" x14ac:dyDescent="0.45">
      <c r="A328" s="9">
        <v>328</v>
      </c>
      <c r="B328" s="2" t="s">
        <v>1789</v>
      </c>
      <c r="C328" s="3" t="s">
        <v>109</v>
      </c>
      <c r="D328" s="3" t="s">
        <v>1646</v>
      </c>
      <c r="E328" s="4">
        <f>IFERROR(INDEX([1]uot!$A$2:$A$40, MATCH("*"&amp;'[1]Personale di appoggio'!$D329&amp;"*", [1]uot!$B$2:$B$40, 0)), "Valore non trovato")</f>
        <v>25</v>
      </c>
      <c r="F328" s="4">
        <f>IF(TRIM('[1]Personale di appoggio'!$F329)=TRIM([1]qualifiche!$E$2),[1]qualifiche!$D$2,
IF(TRIM('[1]Personale di appoggio'!$F329)=TRIM([1]qualifiche!$E$3),[1]qualifiche!$D$3,
IF(TRIM('[1]Personale di appoggio'!$F329)=TRIM([1]qualifiche!$E$4),[1]qualifiche!$D$4,
IF(TRIM('[1]Personale di appoggio'!$F329)=TRIM([1]qualifiche!$E$5),[1]qualifiche!$D$5,
IF(TRIM('[1]Personale di appoggio'!$F329)=TRIM([1]qualifiche!$E$6),[1]qualifiche!$D$6,
IF(TRIM('[1]Personale di appoggio'!$F329)=TRIM([1]qualifiche!$E$7),[1]qualifiche!$D$7,
IF(TRIM('[1]Personale di appoggio'!$F329)=TRIM([1]qualifiche!$E$8),[1]qualifiche!$D$8,
IF(TRIM('[1]Personale di appoggio'!$F329)=TRIM([1]qualifiche!$E$9),[1]qualifiche!$D$9,
IF(TRIM('[1]Personale di appoggio'!$F329)=TRIM([1]qualifiche!$E$10),[1]qualifiche!$D$10,
IF(TRIM('[1]Personale di appoggio'!$F329)=TRIM([1]qualifiche!$E$11),[1]qualifiche!$D$11,""))))))))))</f>
        <v>7</v>
      </c>
      <c r="G328" s="5" t="s">
        <v>1790</v>
      </c>
      <c r="H328" s="5" t="s">
        <v>1791</v>
      </c>
      <c r="I328" s="6" t="s">
        <v>1792</v>
      </c>
      <c r="J328" s="7">
        <f>IF('[1]Personale di appoggio'!J329="X",1,0)</f>
        <v>0</v>
      </c>
      <c r="K328" s="7">
        <f>IF('[1]Personale di appoggio'!K329="X",1,0)</f>
        <v>0</v>
      </c>
      <c r="L328" s="7">
        <f>IF('[1]Personale di appoggio'!L329="X",1,0)</f>
        <v>0</v>
      </c>
      <c r="M328" s="7">
        <f>IF('[1]Personale di appoggio'!M329="X",1,0)</f>
        <v>0</v>
      </c>
      <c r="N328" s="3"/>
      <c r="O328" s="3"/>
      <c r="P328" s="11" t="str">
        <f>IF('[1]Personale di appoggio'!$P329="","",'[1]Personale di appoggio'!$P329)</f>
        <v/>
      </c>
      <c r="Q328" s="4" t="s">
        <v>6</v>
      </c>
      <c r="R328" s="4">
        <f t="shared" si="5"/>
        <v>4</v>
      </c>
    </row>
    <row r="329" spans="1:18" ht="31.5" x14ac:dyDescent="0.45">
      <c r="A329" s="9">
        <v>329</v>
      </c>
      <c r="B329" s="2" t="s">
        <v>1793</v>
      </c>
      <c r="C329" s="3" t="s">
        <v>1794</v>
      </c>
      <c r="D329" s="3" t="s">
        <v>1795</v>
      </c>
      <c r="E329" s="4">
        <f>IFERROR(INDEX([1]uot!$A$2:$A$40, MATCH("*"&amp;'[1]Personale di appoggio'!$D330&amp;"*", [1]uot!$B$2:$B$40, 0)), "Valore non trovato")</f>
        <v>25</v>
      </c>
      <c r="F329" s="4">
        <f>IF(TRIM('[1]Personale di appoggio'!$F330)=TRIM([1]qualifiche!$E$2),[1]qualifiche!$D$2,
IF(TRIM('[1]Personale di appoggio'!$F330)=TRIM([1]qualifiche!$E$3),[1]qualifiche!$D$3,
IF(TRIM('[1]Personale di appoggio'!$F330)=TRIM([1]qualifiche!$E$4),[1]qualifiche!$D$4,
IF(TRIM('[1]Personale di appoggio'!$F330)=TRIM([1]qualifiche!$E$5),[1]qualifiche!$D$5,
IF(TRIM('[1]Personale di appoggio'!$F330)=TRIM([1]qualifiche!$E$6),[1]qualifiche!$D$6,
IF(TRIM('[1]Personale di appoggio'!$F330)=TRIM([1]qualifiche!$E$7),[1]qualifiche!$D$7,
IF(TRIM('[1]Personale di appoggio'!$F330)=TRIM([1]qualifiche!$E$8),[1]qualifiche!$D$8,
IF(TRIM('[1]Personale di appoggio'!$F330)=TRIM([1]qualifiche!$E$9),[1]qualifiche!$D$9,
IF(TRIM('[1]Personale di appoggio'!$F330)=TRIM([1]qualifiche!$E$10),[1]qualifiche!$D$10,
IF(TRIM('[1]Personale di appoggio'!$F330)=TRIM([1]qualifiche!$E$11),[1]qualifiche!$D$11,""))))))))))</f>
        <v>7</v>
      </c>
      <c r="G329" s="5" t="s">
        <v>1796</v>
      </c>
      <c r="H329" s="5" t="s">
        <v>1797</v>
      </c>
      <c r="I329" s="6" t="s">
        <v>1798</v>
      </c>
      <c r="J329" s="7">
        <f>IF('[1]Personale di appoggio'!J330="X",1,0)</f>
        <v>0</v>
      </c>
      <c r="K329" s="7">
        <f>IF('[1]Personale di appoggio'!K330="X",1,0)</f>
        <v>0</v>
      </c>
      <c r="L329" s="7">
        <f>IF('[1]Personale di appoggio'!L330="X",1,0)</f>
        <v>0</v>
      </c>
      <c r="M329" s="7">
        <f>IF('[1]Personale di appoggio'!M330="X",1,0)</f>
        <v>0</v>
      </c>
      <c r="N329" s="3"/>
      <c r="O329" s="3"/>
      <c r="P329" s="11" t="str">
        <f>IF('[1]Personale di appoggio'!$P330="","",'[1]Personale di appoggio'!$P330)</f>
        <v/>
      </c>
      <c r="Q329" s="4" t="s">
        <v>6</v>
      </c>
      <c r="R329" s="4">
        <f t="shared" si="5"/>
        <v>4</v>
      </c>
    </row>
    <row r="330" spans="1:18" ht="31.5" x14ac:dyDescent="0.45">
      <c r="A330" s="9">
        <v>330</v>
      </c>
      <c r="B330" s="2" t="s">
        <v>1799</v>
      </c>
      <c r="C330" s="3" t="s">
        <v>1800</v>
      </c>
      <c r="D330" s="3" t="s">
        <v>850</v>
      </c>
      <c r="E330" s="4">
        <f>IFERROR(INDEX([1]uot!$A$2:$A$40, MATCH("*"&amp;'[1]Personale di appoggio'!$D331&amp;"*", [1]uot!$B$2:$B$40, 0)), "Valore non trovato")</f>
        <v>25</v>
      </c>
      <c r="F330" s="4">
        <f>IF(TRIM('[1]Personale di appoggio'!$F331)=TRIM([1]qualifiche!$E$2),[1]qualifiche!$D$2,
IF(TRIM('[1]Personale di appoggio'!$F331)=TRIM([1]qualifiche!$E$3),[1]qualifiche!$D$3,
IF(TRIM('[1]Personale di appoggio'!$F331)=TRIM([1]qualifiche!$E$4),[1]qualifiche!$D$4,
IF(TRIM('[1]Personale di appoggio'!$F331)=TRIM([1]qualifiche!$E$5),[1]qualifiche!$D$5,
IF(TRIM('[1]Personale di appoggio'!$F331)=TRIM([1]qualifiche!$E$6),[1]qualifiche!$D$6,
IF(TRIM('[1]Personale di appoggio'!$F331)=TRIM([1]qualifiche!$E$7),[1]qualifiche!$D$7,
IF(TRIM('[1]Personale di appoggio'!$F331)=TRIM([1]qualifiche!$E$8),[1]qualifiche!$D$8,
IF(TRIM('[1]Personale di appoggio'!$F331)=TRIM([1]qualifiche!$E$9),[1]qualifiche!$D$9,
IF(TRIM('[1]Personale di appoggio'!$F331)=TRIM([1]qualifiche!$E$10),[1]qualifiche!$D$10,
IF(TRIM('[1]Personale di appoggio'!$F331)=TRIM([1]qualifiche!$E$11),[1]qualifiche!$D$11,""))))))))))</f>
        <v>7</v>
      </c>
      <c r="G330" s="5" t="s">
        <v>1801</v>
      </c>
      <c r="H330" s="5" t="s">
        <v>1802</v>
      </c>
      <c r="I330" s="6" t="s">
        <v>1803</v>
      </c>
      <c r="J330" s="7">
        <f>IF('[1]Personale di appoggio'!J331="X",1,0)</f>
        <v>0</v>
      </c>
      <c r="K330" s="7">
        <f>IF('[1]Personale di appoggio'!K331="X",1,0)</f>
        <v>0</v>
      </c>
      <c r="L330" s="7">
        <f>IF('[1]Personale di appoggio'!L331="X",1,0)</f>
        <v>0</v>
      </c>
      <c r="M330" s="7">
        <f>IF('[1]Personale di appoggio'!M331="X",1,0)</f>
        <v>0</v>
      </c>
      <c r="N330" s="3"/>
      <c r="O330" s="3"/>
      <c r="P330" s="11" t="str">
        <f>IF('[1]Personale di appoggio'!$P331="","",'[1]Personale di appoggio'!$P331)</f>
        <v/>
      </c>
      <c r="Q330" s="4" t="s">
        <v>6</v>
      </c>
      <c r="R330" s="4">
        <f t="shared" si="5"/>
        <v>4</v>
      </c>
    </row>
    <row r="331" spans="1:18" ht="31.5" x14ac:dyDescent="0.45">
      <c r="A331" s="9">
        <v>331</v>
      </c>
      <c r="B331" s="2" t="s">
        <v>1804</v>
      </c>
      <c r="C331" s="3" t="s">
        <v>1805</v>
      </c>
      <c r="D331" s="3" t="s">
        <v>324</v>
      </c>
      <c r="E331" s="4">
        <f>IFERROR(INDEX([1]uot!$A$2:$A$40, MATCH("*"&amp;'[1]Personale di appoggio'!$D332&amp;"*", [1]uot!$B$2:$B$40, 0)), "Valore non trovato")</f>
        <v>25</v>
      </c>
      <c r="F331" s="4">
        <f>IF(TRIM('[1]Personale di appoggio'!$F332)=TRIM([1]qualifiche!$E$2),[1]qualifiche!$D$2,
IF(TRIM('[1]Personale di appoggio'!$F332)=TRIM([1]qualifiche!$E$3),[1]qualifiche!$D$3,
IF(TRIM('[1]Personale di appoggio'!$F332)=TRIM([1]qualifiche!$E$4),[1]qualifiche!$D$4,
IF(TRIM('[1]Personale di appoggio'!$F332)=TRIM([1]qualifiche!$E$5),[1]qualifiche!$D$5,
IF(TRIM('[1]Personale di appoggio'!$F332)=TRIM([1]qualifiche!$E$6),[1]qualifiche!$D$6,
IF(TRIM('[1]Personale di appoggio'!$F332)=TRIM([1]qualifiche!$E$7),[1]qualifiche!$D$7,
IF(TRIM('[1]Personale di appoggio'!$F332)=TRIM([1]qualifiche!$E$8),[1]qualifiche!$D$8,
IF(TRIM('[1]Personale di appoggio'!$F332)=TRIM([1]qualifiche!$E$9),[1]qualifiche!$D$9,
IF(TRIM('[1]Personale di appoggio'!$F332)=TRIM([1]qualifiche!$E$10),[1]qualifiche!$D$10,
IF(TRIM('[1]Personale di appoggio'!$F332)=TRIM([1]qualifiche!$E$11),[1]qualifiche!$D$11,""))))))))))</f>
        <v>7</v>
      </c>
      <c r="G331" s="5" t="s">
        <v>1806</v>
      </c>
      <c r="H331" s="5" t="s">
        <v>1807</v>
      </c>
      <c r="I331" s="6" t="s">
        <v>1808</v>
      </c>
      <c r="J331" s="7">
        <f>IF('[1]Personale di appoggio'!J332="X",1,0)</f>
        <v>0</v>
      </c>
      <c r="K331" s="7">
        <f>IF('[1]Personale di appoggio'!K332="X",1,0)</f>
        <v>0</v>
      </c>
      <c r="L331" s="7">
        <f>IF('[1]Personale di appoggio'!L332="X",1,0)</f>
        <v>0</v>
      </c>
      <c r="M331" s="7">
        <f>IF('[1]Personale di appoggio'!M332="X",1,0)</f>
        <v>0</v>
      </c>
      <c r="N331" s="3"/>
      <c r="O331" s="3"/>
      <c r="P331" s="11" t="str">
        <f>IF('[1]Personale di appoggio'!$P332="","",'[1]Personale di appoggio'!$P332)</f>
        <v/>
      </c>
      <c r="Q331" s="4" t="s">
        <v>6</v>
      </c>
      <c r="R331" s="4">
        <f t="shared" si="5"/>
        <v>4</v>
      </c>
    </row>
    <row r="332" spans="1:18" ht="31.5" x14ac:dyDescent="0.45">
      <c r="A332" s="9">
        <v>332</v>
      </c>
      <c r="B332" s="2" t="s">
        <v>67</v>
      </c>
      <c r="C332" s="3" t="s">
        <v>68</v>
      </c>
      <c r="D332" s="3" t="s">
        <v>69</v>
      </c>
      <c r="E332" s="4">
        <f>IFERROR(INDEX([1]uot!$A$2:$A$40, MATCH("*"&amp;'[1]Personale di appoggio'!$D333&amp;"*", [1]uot!$B$2:$B$40, 0)), "Valore non trovato")</f>
        <v>25</v>
      </c>
      <c r="F332" s="4">
        <f>IF(TRIM('[1]Personale di appoggio'!$F333)=TRIM([1]qualifiche!$E$2),[1]qualifiche!$D$2,
IF(TRIM('[1]Personale di appoggio'!$F333)=TRIM([1]qualifiche!$E$3),[1]qualifiche!$D$3,
IF(TRIM('[1]Personale di appoggio'!$F333)=TRIM([1]qualifiche!$E$4),[1]qualifiche!$D$4,
IF(TRIM('[1]Personale di appoggio'!$F333)=TRIM([1]qualifiche!$E$5),[1]qualifiche!$D$5,
IF(TRIM('[1]Personale di appoggio'!$F333)=TRIM([1]qualifiche!$E$6),[1]qualifiche!$D$6,
IF(TRIM('[1]Personale di appoggio'!$F333)=TRIM([1]qualifiche!$E$7),[1]qualifiche!$D$7,
IF(TRIM('[1]Personale di appoggio'!$F333)=TRIM([1]qualifiche!$E$8),[1]qualifiche!$D$8,
IF(TRIM('[1]Personale di appoggio'!$F333)=TRIM([1]qualifiche!$E$9),[1]qualifiche!$D$9,
IF(TRIM('[1]Personale di appoggio'!$F333)=TRIM([1]qualifiche!$E$10),[1]qualifiche!$D$10,
IF(TRIM('[1]Personale di appoggio'!$F333)=TRIM([1]qualifiche!$E$11),[1]qualifiche!$D$11,""))))))))))</f>
        <v>9</v>
      </c>
      <c r="G332" s="5" t="s">
        <v>70</v>
      </c>
      <c r="H332" s="5" t="s">
        <v>71</v>
      </c>
      <c r="I332" s="6" t="s">
        <v>72</v>
      </c>
      <c r="J332" s="7">
        <f>IF('[1]Personale di appoggio'!J333="X",1,0)</f>
        <v>0</v>
      </c>
      <c r="K332" s="7">
        <f>IF('[1]Personale di appoggio'!K333="X",1,0)</f>
        <v>0</v>
      </c>
      <c r="L332" s="7">
        <f>IF('[1]Personale di appoggio'!L333="X",1,0)</f>
        <v>0</v>
      </c>
      <c r="M332" s="7">
        <f>IF('[1]Personale di appoggio'!M333="X",1,0)</f>
        <v>0</v>
      </c>
      <c r="N332" s="3"/>
      <c r="O332" s="3"/>
      <c r="P332" s="11" t="str">
        <f>IF('[1]Personale di appoggio'!$P333="","",'[1]Personale di appoggio'!$P333)</f>
        <v/>
      </c>
      <c r="Q332" s="4" t="s">
        <v>6</v>
      </c>
      <c r="R332" s="4">
        <f t="shared" si="5"/>
        <v>4</v>
      </c>
    </row>
    <row r="333" spans="1:18" ht="220.5" x14ac:dyDescent="0.45">
      <c r="A333" s="9">
        <v>333</v>
      </c>
      <c r="B333" s="2" t="s">
        <v>1809</v>
      </c>
      <c r="C333" s="3" t="s">
        <v>1810</v>
      </c>
      <c r="D333" s="3" t="s">
        <v>1811</v>
      </c>
      <c r="E333" s="4">
        <f>IFERROR(INDEX([1]uot!$A$2:$A$40, MATCH("*"&amp;'[1]Personale di appoggio'!$D334&amp;"*", [1]uot!$B$2:$B$40, 0)), "Valore non trovato")</f>
        <v>29</v>
      </c>
      <c r="F333" s="4">
        <f>IF(TRIM('[1]Personale di appoggio'!$F334)=TRIM([1]qualifiche!$E$2),[1]qualifiche!$D$2,
IF(TRIM('[1]Personale di appoggio'!$F334)=TRIM([1]qualifiche!$E$3),[1]qualifiche!$D$3,
IF(TRIM('[1]Personale di appoggio'!$F334)=TRIM([1]qualifiche!$E$4),[1]qualifiche!$D$4,
IF(TRIM('[1]Personale di appoggio'!$F334)=TRIM([1]qualifiche!$E$5),[1]qualifiche!$D$5,
IF(TRIM('[1]Personale di appoggio'!$F334)=TRIM([1]qualifiche!$E$6),[1]qualifiche!$D$6,
IF(TRIM('[1]Personale di appoggio'!$F334)=TRIM([1]qualifiche!$E$7),[1]qualifiche!$D$7,
IF(TRIM('[1]Personale di appoggio'!$F334)=TRIM([1]qualifiche!$E$8),[1]qualifiche!$D$8,
IF(TRIM('[1]Personale di appoggio'!$F334)=TRIM([1]qualifiche!$E$9),[1]qualifiche!$D$9,
IF(TRIM('[1]Personale di appoggio'!$F334)=TRIM([1]qualifiche!$E$10),[1]qualifiche!$D$10,
IF(TRIM('[1]Personale di appoggio'!$F334)=TRIM([1]qualifiche!$E$11),[1]qualifiche!$D$11,""))))))))))</f>
        <v>1</v>
      </c>
      <c r="G333" s="5" t="s">
        <v>1812</v>
      </c>
      <c r="H333" s="5" t="s">
        <v>1813</v>
      </c>
      <c r="I333" s="6" t="s">
        <v>1814</v>
      </c>
      <c r="J333" s="7">
        <f>IF('[1]Personale di appoggio'!J334="X",1,0)</f>
        <v>0</v>
      </c>
      <c r="K333" s="7">
        <f>IF('[1]Personale di appoggio'!K334="X",1,0)</f>
        <v>1</v>
      </c>
      <c r="L333" s="7">
        <f>IF('[1]Personale di appoggio'!L334="X",1,0)</f>
        <v>0</v>
      </c>
      <c r="M333" s="7">
        <f>IF('[1]Personale di appoggio'!M334="X",1,0)</f>
        <v>1</v>
      </c>
      <c r="N333" s="3"/>
      <c r="O333" s="3"/>
      <c r="P333" s="11" t="str">
        <f>IF('[1]Personale di appoggio'!$P334="","",'[1]Personale di appoggio'!$P334)</f>
        <v>Direttore ad Interim anche della UOT di Aosta
D.Lgs 105/2015 (Ispezioni a RIR e Componente CTR)</v>
      </c>
      <c r="Q333" s="4" t="s">
        <v>6</v>
      </c>
      <c r="R333" s="4">
        <f t="shared" si="5"/>
        <v>2</v>
      </c>
    </row>
    <row r="334" spans="1:18" ht="63" x14ac:dyDescent="0.45">
      <c r="A334" s="9">
        <v>334</v>
      </c>
      <c r="B334" s="2" t="s">
        <v>1815</v>
      </c>
      <c r="C334" s="3" t="s">
        <v>1816</v>
      </c>
      <c r="D334" s="3" t="s">
        <v>513</v>
      </c>
      <c r="E334" s="4">
        <f>IFERROR(INDEX([1]uot!$A$2:$A$40, MATCH("*"&amp;'[1]Personale di appoggio'!$D335&amp;"*", [1]uot!$B$2:$B$40, 0)), "Valore non trovato")</f>
        <v>29</v>
      </c>
      <c r="F334" s="4">
        <f>IF(TRIM('[1]Personale di appoggio'!$F335)=TRIM([1]qualifiche!$E$2),[1]qualifiche!$D$2,
IF(TRIM('[1]Personale di appoggio'!$F335)=TRIM([1]qualifiche!$E$3),[1]qualifiche!$D$3,
IF(TRIM('[1]Personale di appoggio'!$F335)=TRIM([1]qualifiche!$E$4),[1]qualifiche!$D$4,
IF(TRIM('[1]Personale di appoggio'!$F335)=TRIM([1]qualifiche!$E$5),[1]qualifiche!$D$5,
IF(TRIM('[1]Personale di appoggio'!$F335)=TRIM([1]qualifiche!$E$6),[1]qualifiche!$D$6,
IF(TRIM('[1]Personale di appoggio'!$F335)=TRIM([1]qualifiche!$E$7),[1]qualifiche!$D$7,
IF(TRIM('[1]Personale di appoggio'!$F335)=TRIM([1]qualifiche!$E$8),[1]qualifiche!$D$8,
IF(TRIM('[1]Personale di appoggio'!$F335)=TRIM([1]qualifiche!$E$9),[1]qualifiche!$D$9,
IF(TRIM('[1]Personale di appoggio'!$F335)=TRIM([1]qualifiche!$E$10),[1]qualifiche!$D$10,
IF(TRIM('[1]Personale di appoggio'!$F335)=TRIM([1]qualifiche!$E$11),[1]qualifiche!$D$11,""))))))))))</f>
        <v>2</v>
      </c>
      <c r="G334" s="5" t="s">
        <v>1817</v>
      </c>
      <c r="H334" s="5" t="s">
        <v>1818</v>
      </c>
      <c r="I334" s="6" t="s">
        <v>1819</v>
      </c>
      <c r="J334" s="7">
        <f>IF('[1]Personale di appoggio'!J335="X",1,0)</f>
        <v>1</v>
      </c>
      <c r="K334" s="7">
        <f>IF('[1]Personale di appoggio'!K335="X",1,0)</f>
        <v>0</v>
      </c>
      <c r="L334" s="7">
        <f>IF('[1]Personale di appoggio'!L335="X",1,0)</f>
        <v>1</v>
      </c>
      <c r="M334" s="7">
        <f>IF('[1]Personale di appoggio'!M335="X",1,0)</f>
        <v>0</v>
      </c>
      <c r="N334" s="3"/>
      <c r="O334" s="3"/>
      <c r="P334" s="11" t="str">
        <f>IF('[1]Personale di appoggio'!$P335="","",'[1]Personale di appoggio'!$P335)</f>
        <v>D.Lgs 105/2015 (Ispezioni a RIR)</v>
      </c>
      <c r="Q334" s="4" t="s">
        <v>6</v>
      </c>
      <c r="R334" s="4">
        <f t="shared" si="5"/>
        <v>2</v>
      </c>
    </row>
    <row r="335" spans="1:18" ht="141.75" x14ac:dyDescent="0.45">
      <c r="A335" s="9">
        <v>335</v>
      </c>
      <c r="B335" s="2" t="s">
        <v>1820</v>
      </c>
      <c r="C335" s="3" t="s">
        <v>1821</v>
      </c>
      <c r="D335" s="3" t="s">
        <v>1822</v>
      </c>
      <c r="E335" s="4">
        <f>IFERROR(INDEX([1]uot!$A$2:$A$40, MATCH("*"&amp;'[1]Personale di appoggio'!$D336&amp;"*", [1]uot!$B$2:$B$40, 0)), "Valore non trovato")</f>
        <v>29</v>
      </c>
      <c r="F335" s="4">
        <f>IF(TRIM('[1]Personale di appoggio'!$F336)=TRIM([1]qualifiche!$E$2),[1]qualifiche!$D$2,
IF(TRIM('[1]Personale di appoggio'!$F336)=TRIM([1]qualifiche!$E$3),[1]qualifiche!$D$3,
IF(TRIM('[1]Personale di appoggio'!$F336)=TRIM([1]qualifiche!$E$4),[1]qualifiche!$D$4,
IF(TRIM('[1]Personale di appoggio'!$F336)=TRIM([1]qualifiche!$E$5),[1]qualifiche!$D$5,
IF(TRIM('[1]Personale di appoggio'!$F336)=TRIM([1]qualifiche!$E$6),[1]qualifiche!$D$6,
IF(TRIM('[1]Personale di appoggio'!$F336)=TRIM([1]qualifiche!$E$7),[1]qualifiche!$D$7,
IF(TRIM('[1]Personale di appoggio'!$F336)=TRIM([1]qualifiche!$E$8),[1]qualifiche!$D$8,
IF(TRIM('[1]Personale di appoggio'!$F336)=TRIM([1]qualifiche!$E$9),[1]qualifiche!$D$9,
IF(TRIM('[1]Personale di appoggio'!$F336)=TRIM([1]qualifiche!$E$10),[1]qualifiche!$D$10,
IF(TRIM('[1]Personale di appoggio'!$F336)=TRIM([1]qualifiche!$E$11),[1]qualifiche!$D$11,""))))))))))</f>
        <v>2</v>
      </c>
      <c r="G335" s="5" t="s">
        <v>1823</v>
      </c>
      <c r="H335" s="5" t="s">
        <v>1824</v>
      </c>
      <c r="I335" s="6" t="s">
        <v>1825</v>
      </c>
      <c r="J335" s="7">
        <f>IF('[1]Personale di appoggio'!J336="X",1,0)</f>
        <v>1</v>
      </c>
      <c r="K335" s="7">
        <f>IF('[1]Personale di appoggio'!K336="X",1,0)</f>
        <v>0</v>
      </c>
      <c r="L335" s="7">
        <f>IF('[1]Personale di appoggio'!L336="X",1,0)</f>
        <v>1</v>
      </c>
      <c r="M335" s="7">
        <f>IF('[1]Personale di appoggio'!M336="X",1,0)</f>
        <v>0</v>
      </c>
      <c r="N335" s="3"/>
      <c r="O335" s="3"/>
      <c r="P335" s="11" t="str">
        <f>IF('[1]Personale di appoggio'!$P336="","",'[1]Personale di appoggio'!$P336)</f>
        <v>D.Lgs 105/2015 (Ispezioni a RIR)
Delegato CIVA (Supporto amm.vo)</v>
      </c>
      <c r="Q335" s="4" t="s">
        <v>6</v>
      </c>
      <c r="R335" s="4">
        <f t="shared" si="5"/>
        <v>2</v>
      </c>
    </row>
    <row r="336" spans="1:18" ht="31.5" x14ac:dyDescent="0.45">
      <c r="A336" s="9">
        <v>336</v>
      </c>
      <c r="B336" s="2" t="s">
        <v>1826</v>
      </c>
      <c r="C336" s="3" t="s">
        <v>1827</v>
      </c>
      <c r="D336" s="3" t="s">
        <v>978</v>
      </c>
      <c r="E336" s="4">
        <f>IFERROR(INDEX([1]uot!$A$2:$A$40, MATCH("*"&amp;'[1]Personale di appoggio'!$D337&amp;"*", [1]uot!$B$2:$B$40, 0)), "Valore non trovato")</f>
        <v>29</v>
      </c>
      <c r="F336" s="4">
        <f>IF(TRIM('[1]Personale di appoggio'!$F337)=TRIM([1]qualifiche!$E$2),[1]qualifiche!$D$2,
IF(TRIM('[1]Personale di appoggio'!$F337)=TRIM([1]qualifiche!$E$3),[1]qualifiche!$D$3,
IF(TRIM('[1]Personale di appoggio'!$F337)=TRIM([1]qualifiche!$E$4),[1]qualifiche!$D$4,
IF(TRIM('[1]Personale di appoggio'!$F337)=TRIM([1]qualifiche!$E$5),[1]qualifiche!$D$5,
IF(TRIM('[1]Personale di appoggio'!$F337)=TRIM([1]qualifiche!$E$6),[1]qualifiche!$D$6,
IF(TRIM('[1]Personale di appoggio'!$F337)=TRIM([1]qualifiche!$E$7),[1]qualifiche!$D$7,
IF(TRIM('[1]Personale di appoggio'!$F337)=TRIM([1]qualifiche!$E$8),[1]qualifiche!$D$8,
IF(TRIM('[1]Personale di appoggio'!$F337)=TRIM([1]qualifiche!$E$9),[1]qualifiche!$D$9,
IF(TRIM('[1]Personale di appoggio'!$F337)=TRIM([1]qualifiche!$E$10),[1]qualifiche!$D$10,
IF(TRIM('[1]Personale di appoggio'!$F337)=TRIM([1]qualifiche!$E$11),[1]qualifiche!$D$11,""))))))))))</f>
        <v>5</v>
      </c>
      <c r="G336" s="5" t="s">
        <v>1828</v>
      </c>
      <c r="H336" s="5"/>
      <c r="I336" s="6" t="s">
        <v>1829</v>
      </c>
      <c r="J336" s="7">
        <f>IF('[1]Personale di appoggio'!J337="X",1,0)</f>
        <v>0</v>
      </c>
      <c r="K336" s="7">
        <f>IF('[1]Personale di appoggio'!K337="X",1,0)</f>
        <v>0</v>
      </c>
      <c r="L336" s="7">
        <f>IF('[1]Personale di appoggio'!L337="X",1,0)</f>
        <v>0</v>
      </c>
      <c r="M336" s="7">
        <f>IF('[1]Personale di appoggio'!M337="X",1,0)</f>
        <v>0</v>
      </c>
      <c r="N336" s="3"/>
      <c r="O336" s="3"/>
      <c r="P336" s="11" t="str">
        <f>IF('[1]Personale di appoggio'!$P337="","",'[1]Personale di appoggio'!$P337)</f>
        <v/>
      </c>
      <c r="Q336" s="4" t="s">
        <v>6</v>
      </c>
      <c r="R336" s="4">
        <f t="shared" si="5"/>
        <v>4</v>
      </c>
    </row>
    <row r="337" spans="1:18" ht="31.5" x14ac:dyDescent="0.45">
      <c r="A337" s="9">
        <v>337</v>
      </c>
      <c r="B337" s="2" t="s">
        <v>1830</v>
      </c>
      <c r="C337" s="3" t="s">
        <v>1831</v>
      </c>
      <c r="D337" s="3" t="s">
        <v>1832</v>
      </c>
      <c r="E337" s="4">
        <f>IFERROR(INDEX([1]uot!$A$2:$A$40, MATCH("*"&amp;'[1]Personale di appoggio'!$D338&amp;"*", [1]uot!$B$2:$B$40, 0)), "Valore non trovato")</f>
        <v>29</v>
      </c>
      <c r="F337" s="4">
        <f>IF(TRIM('[1]Personale di appoggio'!$F338)=TRIM([1]qualifiche!$E$2),[1]qualifiche!$D$2,
IF(TRIM('[1]Personale di appoggio'!$F338)=TRIM([1]qualifiche!$E$3),[1]qualifiche!$D$3,
IF(TRIM('[1]Personale di appoggio'!$F338)=TRIM([1]qualifiche!$E$4),[1]qualifiche!$D$4,
IF(TRIM('[1]Personale di appoggio'!$F338)=TRIM([1]qualifiche!$E$5),[1]qualifiche!$D$5,
IF(TRIM('[1]Personale di appoggio'!$F338)=TRIM([1]qualifiche!$E$6),[1]qualifiche!$D$6,
IF(TRIM('[1]Personale di appoggio'!$F338)=TRIM([1]qualifiche!$E$7),[1]qualifiche!$D$7,
IF(TRIM('[1]Personale di appoggio'!$F338)=TRIM([1]qualifiche!$E$8),[1]qualifiche!$D$8,
IF(TRIM('[1]Personale di appoggio'!$F338)=TRIM([1]qualifiche!$E$9),[1]qualifiche!$D$9,
IF(TRIM('[1]Personale di appoggio'!$F338)=TRIM([1]qualifiche!$E$10),[1]qualifiche!$D$10,
IF(TRIM('[1]Personale di appoggio'!$F338)=TRIM([1]qualifiche!$E$11),[1]qualifiche!$D$11,""))))))))))</f>
        <v>4</v>
      </c>
      <c r="G337" s="5" t="s">
        <v>1833</v>
      </c>
      <c r="H337" s="5" t="s">
        <v>1834</v>
      </c>
      <c r="I337" s="6" t="s">
        <v>1835</v>
      </c>
      <c r="J337" s="7">
        <f>IF('[1]Personale di appoggio'!J338="X",1,0)</f>
        <v>0</v>
      </c>
      <c r="K337" s="7">
        <f>IF('[1]Personale di appoggio'!K338="X",1,0)</f>
        <v>1</v>
      </c>
      <c r="L337" s="7">
        <f>IF('[1]Personale di appoggio'!L338="X",1,0)</f>
        <v>0</v>
      </c>
      <c r="M337" s="7">
        <f>IF('[1]Personale di appoggio'!M338="X",1,0)</f>
        <v>0</v>
      </c>
      <c r="N337" s="3"/>
      <c r="O337" s="3"/>
      <c r="P337" s="11" t="str">
        <f>IF('[1]Personale di appoggio'!$P338="","",'[1]Personale di appoggio'!$P338)</f>
        <v/>
      </c>
      <c r="Q337" s="4" t="s">
        <v>6</v>
      </c>
      <c r="R337" s="4">
        <f t="shared" si="5"/>
        <v>2</v>
      </c>
    </row>
    <row r="338" spans="1:18" ht="63" x14ac:dyDescent="0.45">
      <c r="A338" s="9">
        <v>338</v>
      </c>
      <c r="B338" s="2" t="s">
        <v>1836</v>
      </c>
      <c r="C338" s="3" t="s">
        <v>1837</v>
      </c>
      <c r="D338" s="3" t="s">
        <v>278</v>
      </c>
      <c r="E338" s="4">
        <f>IFERROR(INDEX([1]uot!$A$2:$A$40, MATCH("*"&amp;'[1]Personale di appoggio'!$D339&amp;"*", [1]uot!$B$2:$B$40, 0)), "Valore non trovato")</f>
        <v>29</v>
      </c>
      <c r="F338" s="4">
        <f>IF(TRIM('[1]Personale di appoggio'!$F339)=TRIM([1]qualifiche!$E$2),[1]qualifiche!$D$2,
IF(TRIM('[1]Personale di appoggio'!$F339)=TRIM([1]qualifiche!$E$3),[1]qualifiche!$D$3,
IF(TRIM('[1]Personale di appoggio'!$F339)=TRIM([1]qualifiche!$E$4),[1]qualifiche!$D$4,
IF(TRIM('[1]Personale di appoggio'!$F339)=TRIM([1]qualifiche!$E$5),[1]qualifiche!$D$5,
IF(TRIM('[1]Personale di appoggio'!$F339)=TRIM([1]qualifiche!$E$6),[1]qualifiche!$D$6,
IF(TRIM('[1]Personale di appoggio'!$F339)=TRIM([1]qualifiche!$E$7),[1]qualifiche!$D$7,
IF(TRIM('[1]Personale di appoggio'!$F339)=TRIM([1]qualifiche!$E$8),[1]qualifiche!$D$8,
IF(TRIM('[1]Personale di appoggio'!$F339)=TRIM([1]qualifiche!$E$9),[1]qualifiche!$D$9,
IF(TRIM('[1]Personale di appoggio'!$F339)=TRIM([1]qualifiche!$E$10),[1]qualifiche!$D$10,
IF(TRIM('[1]Personale di appoggio'!$F339)=TRIM([1]qualifiche!$E$11),[1]qualifiche!$D$11,""))))))))))</f>
        <v>4</v>
      </c>
      <c r="G338" s="5" t="s">
        <v>1838</v>
      </c>
      <c r="H338" s="5" t="s">
        <v>1839</v>
      </c>
      <c r="I338" s="6" t="s">
        <v>1840</v>
      </c>
      <c r="J338" s="7">
        <f>IF('[1]Personale di appoggio'!J339="X",1,0)</f>
        <v>0</v>
      </c>
      <c r="K338" s="7">
        <f>IF('[1]Personale di appoggio'!K339="X",1,0)</f>
        <v>0</v>
      </c>
      <c r="L338" s="7">
        <f>IF('[1]Personale di appoggio'!L339="X",1,0)</f>
        <v>1</v>
      </c>
      <c r="M338" s="7">
        <f>IF('[1]Personale di appoggio'!M339="X",1,0)</f>
        <v>0</v>
      </c>
      <c r="N338" s="3"/>
      <c r="O338" s="3"/>
      <c r="P338" s="11" t="str">
        <f>IF('[1]Personale di appoggio'!$P339="","",'[1]Personale di appoggio'!$P339)</f>
        <v>D.Lgs 105/2015 (Ispezioni a RIR)</v>
      </c>
      <c r="Q338" s="4" t="s">
        <v>6</v>
      </c>
      <c r="R338" s="4">
        <f t="shared" si="5"/>
        <v>2</v>
      </c>
    </row>
    <row r="339" spans="1:18" ht="31.5" x14ac:dyDescent="0.45">
      <c r="A339" s="9">
        <v>339</v>
      </c>
      <c r="B339" s="2" t="s">
        <v>1841</v>
      </c>
      <c r="C339" s="3" t="s">
        <v>1842</v>
      </c>
      <c r="D339" s="3" t="s">
        <v>216</v>
      </c>
      <c r="E339" s="4">
        <f>IFERROR(INDEX([1]uot!$A$2:$A$40, MATCH("*"&amp;'[1]Personale di appoggio'!$D340&amp;"*", [1]uot!$B$2:$B$40, 0)), "Valore non trovato")</f>
        <v>29</v>
      </c>
      <c r="F339" s="4">
        <f>IF(TRIM('[1]Personale di appoggio'!$F340)=TRIM([1]qualifiche!$E$2),[1]qualifiche!$D$2,
IF(TRIM('[1]Personale di appoggio'!$F340)=TRIM([1]qualifiche!$E$3),[1]qualifiche!$D$3,
IF(TRIM('[1]Personale di appoggio'!$F340)=TRIM([1]qualifiche!$E$4),[1]qualifiche!$D$4,
IF(TRIM('[1]Personale di appoggio'!$F340)=TRIM([1]qualifiche!$E$5),[1]qualifiche!$D$5,
IF(TRIM('[1]Personale di appoggio'!$F340)=TRIM([1]qualifiche!$E$6),[1]qualifiche!$D$6,
IF(TRIM('[1]Personale di appoggio'!$F340)=TRIM([1]qualifiche!$E$7),[1]qualifiche!$D$7,
IF(TRIM('[1]Personale di appoggio'!$F340)=TRIM([1]qualifiche!$E$8),[1]qualifiche!$D$8,
IF(TRIM('[1]Personale di appoggio'!$F340)=TRIM([1]qualifiche!$E$9),[1]qualifiche!$D$9,
IF(TRIM('[1]Personale di appoggio'!$F340)=TRIM([1]qualifiche!$E$10),[1]qualifiche!$D$10,
IF(TRIM('[1]Personale di appoggio'!$F340)=TRIM([1]qualifiche!$E$11),[1]qualifiche!$D$11,""))))))))))</f>
        <v>7</v>
      </c>
      <c r="G339" s="5" t="s">
        <v>1843</v>
      </c>
      <c r="H339" s="5" t="s">
        <v>1844</v>
      </c>
      <c r="I339" s="6" t="s">
        <v>1845</v>
      </c>
      <c r="J339" s="7">
        <f>IF('[1]Personale di appoggio'!J340="X",1,0)</f>
        <v>0</v>
      </c>
      <c r="K339" s="7">
        <f>IF('[1]Personale di appoggio'!K340="X",1,0)</f>
        <v>0</v>
      </c>
      <c r="L339" s="7">
        <f>IF('[1]Personale di appoggio'!L340="X",1,0)</f>
        <v>0</v>
      </c>
      <c r="M339" s="7">
        <f>IF('[1]Personale di appoggio'!M340="X",1,0)</f>
        <v>0</v>
      </c>
      <c r="N339" s="3"/>
      <c r="O339" s="3"/>
      <c r="P339" s="11" t="str">
        <f>IF('[1]Personale di appoggio'!$P340="","",'[1]Personale di appoggio'!$P340)</f>
        <v/>
      </c>
      <c r="Q339" s="4" t="s">
        <v>6</v>
      </c>
      <c r="R339" s="4">
        <f t="shared" si="5"/>
        <v>4</v>
      </c>
    </row>
    <row r="340" spans="1:18" ht="31.5" x14ac:dyDescent="0.45">
      <c r="A340" s="9">
        <v>340</v>
      </c>
      <c r="B340" s="2" t="s">
        <v>1846</v>
      </c>
      <c r="C340" s="3" t="s">
        <v>1847</v>
      </c>
      <c r="D340" s="3" t="s">
        <v>769</v>
      </c>
      <c r="E340" s="4">
        <f>IFERROR(INDEX([1]uot!$A$2:$A$40, MATCH("*"&amp;'[1]Personale di appoggio'!$D341&amp;"*", [1]uot!$B$2:$B$40, 0)), "Valore non trovato")</f>
        <v>9</v>
      </c>
      <c r="F340" s="4">
        <f>IF(TRIM('[1]Personale di appoggio'!$F341)=TRIM([1]qualifiche!$E$2),[1]qualifiche!$D$2,
IF(TRIM('[1]Personale di appoggio'!$F341)=TRIM([1]qualifiche!$E$3),[1]qualifiche!$D$3,
IF(TRIM('[1]Personale di appoggio'!$F341)=TRIM([1]qualifiche!$E$4),[1]qualifiche!$D$4,
IF(TRIM('[1]Personale di appoggio'!$F341)=TRIM([1]qualifiche!$E$5),[1]qualifiche!$D$5,
IF(TRIM('[1]Personale di appoggio'!$F341)=TRIM([1]qualifiche!$E$6),[1]qualifiche!$D$6,
IF(TRIM('[1]Personale di appoggio'!$F341)=TRIM([1]qualifiche!$E$7),[1]qualifiche!$D$7,
IF(TRIM('[1]Personale di appoggio'!$F341)=TRIM([1]qualifiche!$E$8),[1]qualifiche!$D$8,
IF(TRIM('[1]Personale di appoggio'!$F341)=TRIM([1]qualifiche!$E$9),[1]qualifiche!$D$9,
IF(TRIM('[1]Personale di appoggio'!$F341)=TRIM([1]qualifiche!$E$10),[1]qualifiche!$D$10,
IF(TRIM('[1]Personale di appoggio'!$F341)=TRIM([1]qualifiche!$E$11),[1]qualifiche!$D$11,""))))))))))</f>
        <v>1</v>
      </c>
      <c r="G340" s="5"/>
      <c r="H340" s="5" t="s">
        <v>1848</v>
      </c>
      <c r="I340" s="6" t="s">
        <v>1849</v>
      </c>
      <c r="J340" s="7">
        <f>IF('[1]Personale di appoggio'!J341="X",1,0)</f>
        <v>0</v>
      </c>
      <c r="K340" s="7">
        <f>IF('[1]Personale di appoggio'!K341="X",1,0)</f>
        <v>0</v>
      </c>
      <c r="L340" s="7">
        <f>IF('[1]Personale di appoggio'!L341="X",1,0)</f>
        <v>0</v>
      </c>
      <c r="M340" s="7">
        <f>IF('[1]Personale di appoggio'!M341="X",1,0)</f>
        <v>0</v>
      </c>
      <c r="N340" s="3"/>
      <c r="O340" s="3"/>
      <c r="P340" s="11" t="str">
        <f>IF('[1]Personale di appoggio'!$P341="","",'[1]Personale di appoggio'!$P341)</f>
        <v/>
      </c>
      <c r="Q340" s="4" t="s">
        <v>6</v>
      </c>
      <c r="R340" s="4">
        <f t="shared" si="5"/>
        <v>4</v>
      </c>
    </row>
    <row r="341" spans="1:18" ht="31.5" x14ac:dyDescent="0.45">
      <c r="A341" s="9">
        <v>341</v>
      </c>
      <c r="B341" s="2" t="s">
        <v>1850</v>
      </c>
      <c r="C341" s="3" t="s">
        <v>1851</v>
      </c>
      <c r="D341" s="3" t="s">
        <v>181</v>
      </c>
      <c r="E341" s="4">
        <f>IFERROR(INDEX([1]uot!$A$2:$A$40, MATCH("*"&amp;'[1]Personale di appoggio'!$D342&amp;"*", [1]uot!$B$2:$B$40, 0)), "Valore non trovato")</f>
        <v>9</v>
      </c>
      <c r="F341" s="4">
        <f>IF(TRIM('[1]Personale di appoggio'!$F342)=TRIM([1]qualifiche!$E$2),[1]qualifiche!$D$2,
IF(TRIM('[1]Personale di appoggio'!$F342)=TRIM([1]qualifiche!$E$3),[1]qualifiche!$D$3,
IF(TRIM('[1]Personale di appoggio'!$F342)=TRIM([1]qualifiche!$E$4),[1]qualifiche!$D$4,
IF(TRIM('[1]Personale di appoggio'!$F342)=TRIM([1]qualifiche!$E$5),[1]qualifiche!$D$5,
IF(TRIM('[1]Personale di appoggio'!$F342)=TRIM([1]qualifiche!$E$6),[1]qualifiche!$D$6,
IF(TRIM('[1]Personale di appoggio'!$F342)=TRIM([1]qualifiche!$E$7),[1]qualifiche!$D$7,
IF(TRIM('[1]Personale di appoggio'!$F342)=TRIM([1]qualifiche!$E$8),[1]qualifiche!$D$8,
IF(TRIM('[1]Personale di appoggio'!$F342)=TRIM([1]qualifiche!$E$9),[1]qualifiche!$D$9,
IF(TRIM('[1]Personale di appoggio'!$F342)=TRIM([1]qualifiche!$E$10),[1]qualifiche!$D$10,
IF(TRIM('[1]Personale di appoggio'!$F342)=TRIM([1]qualifiche!$E$11),[1]qualifiche!$D$11,""))))))))))</f>
        <v>2</v>
      </c>
      <c r="G341" s="5" t="s">
        <v>1852</v>
      </c>
      <c r="H341" s="5" t="s">
        <v>1853</v>
      </c>
      <c r="I341" s="6" t="s">
        <v>1854</v>
      </c>
      <c r="J341" s="7">
        <f>IF('[1]Personale di appoggio'!J342="X",1,0)</f>
        <v>0</v>
      </c>
      <c r="K341" s="7">
        <f>IF('[1]Personale di appoggio'!K342="X",1,0)</f>
        <v>0</v>
      </c>
      <c r="L341" s="7">
        <f>IF('[1]Personale di appoggio'!L342="X",1,0)</f>
        <v>0</v>
      </c>
      <c r="M341" s="7">
        <f>IF('[1]Personale di appoggio'!M342="X",1,0)</f>
        <v>0</v>
      </c>
      <c r="N341" s="3"/>
      <c r="O341" s="3"/>
      <c r="P341" s="11" t="str">
        <f>IF('[1]Personale di appoggio'!$P342="","",'[1]Personale di appoggio'!$P342)</f>
        <v/>
      </c>
      <c r="Q341" s="4" t="s">
        <v>6</v>
      </c>
      <c r="R341" s="4">
        <f t="shared" si="5"/>
        <v>4</v>
      </c>
    </row>
    <row r="342" spans="1:18" ht="31.5" x14ac:dyDescent="0.45">
      <c r="A342" s="9">
        <v>342</v>
      </c>
      <c r="B342" s="2" t="s">
        <v>1855</v>
      </c>
      <c r="C342" s="3" t="s">
        <v>1856</v>
      </c>
      <c r="D342" s="3" t="s">
        <v>951</v>
      </c>
      <c r="E342" s="4">
        <f>IFERROR(INDEX([1]uot!$A$2:$A$40, MATCH("*"&amp;'[1]Personale di appoggio'!$D343&amp;"*", [1]uot!$B$2:$B$40, 0)), "Valore non trovato")</f>
        <v>9</v>
      </c>
      <c r="F342" s="4">
        <f>IF(TRIM('[1]Personale di appoggio'!$F343)=TRIM([1]qualifiche!$E$2),[1]qualifiche!$D$2,
IF(TRIM('[1]Personale di appoggio'!$F343)=TRIM([1]qualifiche!$E$3),[1]qualifiche!$D$3,
IF(TRIM('[1]Personale di appoggio'!$F343)=TRIM([1]qualifiche!$E$4),[1]qualifiche!$D$4,
IF(TRIM('[1]Personale di appoggio'!$F343)=TRIM([1]qualifiche!$E$5),[1]qualifiche!$D$5,
IF(TRIM('[1]Personale di appoggio'!$F343)=TRIM([1]qualifiche!$E$6),[1]qualifiche!$D$6,
IF(TRIM('[1]Personale di appoggio'!$F343)=TRIM([1]qualifiche!$E$7),[1]qualifiche!$D$7,
IF(TRIM('[1]Personale di appoggio'!$F343)=TRIM([1]qualifiche!$E$8),[1]qualifiche!$D$8,
IF(TRIM('[1]Personale di appoggio'!$F343)=TRIM([1]qualifiche!$E$9),[1]qualifiche!$D$9,
IF(TRIM('[1]Personale di appoggio'!$F343)=TRIM([1]qualifiche!$E$10),[1]qualifiche!$D$10,
IF(TRIM('[1]Personale di appoggio'!$F343)=TRIM([1]qualifiche!$E$11),[1]qualifiche!$D$11,""))))))))))</f>
        <v>3</v>
      </c>
      <c r="G342" s="5"/>
      <c r="H342" s="5" t="s">
        <v>1857</v>
      </c>
      <c r="I342" s="6" t="s">
        <v>1858</v>
      </c>
      <c r="J342" s="7">
        <f>IF('[1]Personale di appoggio'!J343="X",1,0)</f>
        <v>0</v>
      </c>
      <c r="K342" s="7">
        <f>IF('[1]Personale di appoggio'!K343="X",1,0)</f>
        <v>0</v>
      </c>
      <c r="L342" s="7">
        <f>IF('[1]Personale di appoggio'!L343="X",1,0)</f>
        <v>0</v>
      </c>
      <c r="M342" s="7">
        <f>IF('[1]Personale di appoggio'!M343="X",1,0)</f>
        <v>0</v>
      </c>
      <c r="N342" s="3"/>
      <c r="O342" s="3"/>
      <c r="P342" s="11" t="str">
        <f>IF('[1]Personale di appoggio'!$P343="","",'[1]Personale di appoggio'!$P343)</f>
        <v/>
      </c>
      <c r="Q342" s="4" t="s">
        <v>6</v>
      </c>
      <c r="R342" s="4">
        <f t="shared" si="5"/>
        <v>4</v>
      </c>
    </row>
    <row r="343" spans="1:18" ht="28.5" x14ac:dyDescent="0.45">
      <c r="A343" s="9">
        <v>343</v>
      </c>
      <c r="B343" s="2" t="s">
        <v>1859</v>
      </c>
      <c r="C343" s="3" t="s">
        <v>1860</v>
      </c>
      <c r="D343" s="3" t="s">
        <v>27</v>
      </c>
      <c r="E343" s="4">
        <f>IFERROR(INDEX([1]uot!$A$2:$A$40, MATCH("*"&amp;'[1]Personale di appoggio'!$D344&amp;"*", [1]uot!$B$2:$B$40, 0)), "Valore non trovato")</f>
        <v>9</v>
      </c>
      <c r="F343" s="4">
        <f>IF(TRIM('[1]Personale di appoggio'!$F344)=TRIM([1]qualifiche!$E$2),[1]qualifiche!$D$2,
IF(TRIM('[1]Personale di appoggio'!$F344)=TRIM([1]qualifiche!$E$3),[1]qualifiche!$D$3,
IF(TRIM('[1]Personale di appoggio'!$F344)=TRIM([1]qualifiche!$E$4),[1]qualifiche!$D$4,
IF(TRIM('[1]Personale di appoggio'!$F344)=TRIM([1]qualifiche!$E$5),[1]qualifiche!$D$5,
IF(TRIM('[1]Personale di appoggio'!$F344)=TRIM([1]qualifiche!$E$6),[1]qualifiche!$D$6,
IF(TRIM('[1]Personale di appoggio'!$F344)=TRIM([1]qualifiche!$E$7),[1]qualifiche!$D$7,
IF(TRIM('[1]Personale di appoggio'!$F344)=TRIM([1]qualifiche!$E$8),[1]qualifiche!$D$8,
IF(TRIM('[1]Personale di appoggio'!$F344)=TRIM([1]qualifiche!$E$9),[1]qualifiche!$D$9,
IF(TRIM('[1]Personale di appoggio'!$F344)=TRIM([1]qualifiche!$E$10),[1]qualifiche!$D$10,
IF(TRIM('[1]Personale di appoggio'!$F344)=TRIM([1]qualifiche!$E$11),[1]qualifiche!$D$11,""))))))))))</f>
        <v>6</v>
      </c>
      <c r="G343" s="5"/>
      <c r="H343" s="5" t="s">
        <v>1861</v>
      </c>
      <c r="I343" s="6" t="s">
        <v>1862</v>
      </c>
      <c r="J343" s="7">
        <f>IF('[1]Personale di appoggio'!J344="X",1,0)</f>
        <v>0</v>
      </c>
      <c r="K343" s="7">
        <f>IF('[1]Personale di appoggio'!K344="X",1,0)</f>
        <v>0</v>
      </c>
      <c r="L343" s="7">
        <f>IF('[1]Personale di appoggio'!L344="X",1,0)</f>
        <v>0</v>
      </c>
      <c r="M343" s="7">
        <f>IF('[1]Personale di appoggio'!M344="X",1,0)</f>
        <v>0</v>
      </c>
      <c r="N343" s="3"/>
      <c r="O343" s="3"/>
      <c r="P343" s="11" t="str">
        <f>IF('[1]Personale di appoggio'!$P344="","",'[1]Personale di appoggio'!$P344)</f>
        <v/>
      </c>
      <c r="Q343" s="4" t="s">
        <v>6</v>
      </c>
      <c r="R343" s="4">
        <f t="shared" si="5"/>
        <v>4</v>
      </c>
    </row>
    <row r="344" spans="1:18" ht="31.5" x14ac:dyDescent="0.45">
      <c r="A344" s="9">
        <v>344</v>
      </c>
      <c r="B344" s="2" t="s">
        <v>1863</v>
      </c>
      <c r="C344" s="3" t="s">
        <v>1864</v>
      </c>
      <c r="D344" s="3" t="s">
        <v>63</v>
      </c>
      <c r="E344" s="4">
        <f>IFERROR(INDEX([1]uot!$A$2:$A$40, MATCH("*"&amp;'[1]Personale di appoggio'!$D345&amp;"*", [1]uot!$B$2:$B$40, 0)), "Valore non trovato")</f>
        <v>9</v>
      </c>
      <c r="F344" s="4">
        <f>IF(TRIM('[1]Personale di appoggio'!$F345)=TRIM([1]qualifiche!$E$2),[1]qualifiche!$D$2,
IF(TRIM('[1]Personale di appoggio'!$F345)=TRIM([1]qualifiche!$E$3),[1]qualifiche!$D$3,
IF(TRIM('[1]Personale di appoggio'!$F345)=TRIM([1]qualifiche!$E$4),[1]qualifiche!$D$4,
IF(TRIM('[1]Personale di appoggio'!$F345)=TRIM([1]qualifiche!$E$5),[1]qualifiche!$D$5,
IF(TRIM('[1]Personale di appoggio'!$F345)=TRIM([1]qualifiche!$E$6),[1]qualifiche!$D$6,
IF(TRIM('[1]Personale di appoggio'!$F345)=TRIM([1]qualifiche!$E$7),[1]qualifiche!$D$7,
IF(TRIM('[1]Personale di appoggio'!$F345)=TRIM([1]qualifiche!$E$8),[1]qualifiche!$D$8,
IF(TRIM('[1]Personale di appoggio'!$F345)=TRIM([1]qualifiche!$E$9),[1]qualifiche!$D$9,
IF(TRIM('[1]Personale di appoggio'!$F345)=TRIM([1]qualifiche!$E$10),[1]qualifiche!$D$10,
IF(TRIM('[1]Personale di appoggio'!$F345)=TRIM([1]qualifiche!$E$11),[1]qualifiche!$D$11,""))))))))))</f>
        <v>8</v>
      </c>
      <c r="G344" s="5" t="s">
        <v>1865</v>
      </c>
      <c r="H344" s="5" t="s">
        <v>1866</v>
      </c>
      <c r="I344" s="6" t="s">
        <v>1867</v>
      </c>
      <c r="J344" s="7">
        <f>IF('[1]Personale di appoggio'!J345="X",1,0)</f>
        <v>0</v>
      </c>
      <c r="K344" s="7">
        <f>IF('[1]Personale di appoggio'!K345="X",1,0)</f>
        <v>0</v>
      </c>
      <c r="L344" s="7">
        <f>IF('[1]Personale di appoggio'!L345="X",1,0)</f>
        <v>0</v>
      </c>
      <c r="M344" s="7">
        <f>IF('[1]Personale di appoggio'!M345="X",1,0)</f>
        <v>0</v>
      </c>
      <c r="N344" s="3"/>
      <c r="O344" s="3"/>
      <c r="P344" s="11" t="str">
        <f>IF('[1]Personale di appoggio'!$P345="","",'[1]Personale di appoggio'!$P345)</f>
        <v/>
      </c>
      <c r="Q344" s="4" t="s">
        <v>6</v>
      </c>
      <c r="R344" s="4">
        <f t="shared" si="5"/>
        <v>4</v>
      </c>
    </row>
    <row r="345" spans="1:18" ht="409.5" x14ac:dyDescent="0.45">
      <c r="A345" s="9">
        <v>345</v>
      </c>
      <c r="B345" s="2" t="s">
        <v>1868</v>
      </c>
      <c r="C345" s="3" t="s">
        <v>1869</v>
      </c>
      <c r="D345" s="3" t="s">
        <v>15</v>
      </c>
      <c r="E345" s="4">
        <f>IFERROR(INDEX([1]uot!$A$2:$A$40, MATCH("*"&amp;'[1]Personale di appoggio'!$D346&amp;"*", [1]uot!$B$2:$B$40, 0)), "Valore non trovato")</f>
        <v>21</v>
      </c>
      <c r="F345" s="4">
        <f>IF(TRIM('[1]Personale di appoggio'!$F346)=TRIM([1]qualifiche!$E$2),[1]qualifiche!$D$2,
IF(TRIM('[1]Personale di appoggio'!$F346)=TRIM([1]qualifiche!$E$3),[1]qualifiche!$D$3,
IF(TRIM('[1]Personale di appoggio'!$F346)=TRIM([1]qualifiche!$E$4),[1]qualifiche!$D$4,
IF(TRIM('[1]Personale di appoggio'!$F346)=TRIM([1]qualifiche!$E$5),[1]qualifiche!$D$5,
IF(TRIM('[1]Personale di appoggio'!$F346)=TRIM([1]qualifiche!$E$6),[1]qualifiche!$D$6,
IF(TRIM('[1]Personale di appoggio'!$F346)=TRIM([1]qualifiche!$E$7),[1]qualifiche!$D$7,
IF(TRIM('[1]Personale di appoggio'!$F346)=TRIM([1]qualifiche!$E$8),[1]qualifiche!$D$8,
IF(TRIM('[1]Personale di appoggio'!$F346)=TRIM([1]qualifiche!$E$9),[1]qualifiche!$D$9,
IF(TRIM('[1]Personale di appoggio'!$F346)=TRIM([1]qualifiche!$E$10),[1]qualifiche!$D$10,
IF(TRIM('[1]Personale di appoggio'!$F346)=TRIM([1]qualifiche!$E$11),[1]qualifiche!$D$11,""))))))))))</f>
        <v>1</v>
      </c>
      <c r="G345" s="5" t="s">
        <v>1870</v>
      </c>
      <c r="H345" s="5" t="s">
        <v>1871</v>
      </c>
      <c r="I345" s="6" t="s">
        <v>1872</v>
      </c>
      <c r="J345" s="7">
        <f>IF('[1]Personale di appoggio'!J346="X",1,0)</f>
        <v>0</v>
      </c>
      <c r="K345" s="7">
        <f>IF('[1]Personale di appoggio'!K346="X",1,0)</f>
        <v>0</v>
      </c>
      <c r="L345" s="7">
        <f>IF('[1]Personale di appoggio'!L346="X",1,0)</f>
        <v>0</v>
      </c>
      <c r="M345" s="7">
        <f>IF('[1]Personale di appoggio'!M346="X",1,0)</f>
        <v>0</v>
      </c>
      <c r="N345" s="3"/>
      <c r="O345" s="3"/>
      <c r="P345" s="11" t="str">
        <f>IF('[1]Personale di appoggio'!$P346="","",'[1]Personale di appoggio'!$P346)</f>
        <v>NOTA per UOT di Venezia-Mestre da parte del Direttore (aggiornamento del 15/05/2024): 
le attività per le quali sarebbe auspicabile un supporto esterno sono:
•	Apparecchi a pressione_Messa in servizio di apparecchiature a pressione_ in particolare per l’</v>
      </c>
      <c r="Q345" s="4" t="s">
        <v>6</v>
      </c>
      <c r="R345" s="4">
        <f t="shared" si="5"/>
        <v>4</v>
      </c>
    </row>
    <row r="346" spans="1:18" ht="141.75" x14ac:dyDescent="0.45">
      <c r="A346" s="9">
        <v>346</v>
      </c>
      <c r="B346" s="2" t="s">
        <v>1873</v>
      </c>
      <c r="C346" s="3" t="s">
        <v>1874</v>
      </c>
      <c r="D346" s="3" t="s">
        <v>908</v>
      </c>
      <c r="E346" s="4">
        <f>IFERROR(INDEX([1]uot!$A$2:$A$40, MATCH("*"&amp;'[1]Personale di appoggio'!$D347&amp;"*", [1]uot!$B$2:$B$40, 0)), "Valore non trovato")</f>
        <v>21</v>
      </c>
      <c r="F346" s="4">
        <f>IF(TRIM('[1]Personale di appoggio'!$F347)=TRIM([1]qualifiche!$E$2),[1]qualifiche!$D$2,
IF(TRIM('[1]Personale di appoggio'!$F347)=TRIM([1]qualifiche!$E$3),[1]qualifiche!$D$3,
IF(TRIM('[1]Personale di appoggio'!$F347)=TRIM([1]qualifiche!$E$4),[1]qualifiche!$D$4,
IF(TRIM('[1]Personale di appoggio'!$F347)=TRIM([1]qualifiche!$E$5),[1]qualifiche!$D$5,
IF(TRIM('[1]Personale di appoggio'!$F347)=TRIM([1]qualifiche!$E$6),[1]qualifiche!$D$6,
IF(TRIM('[1]Personale di appoggio'!$F347)=TRIM([1]qualifiche!$E$7),[1]qualifiche!$D$7,
IF(TRIM('[1]Personale di appoggio'!$F347)=TRIM([1]qualifiche!$E$8),[1]qualifiche!$D$8,
IF(TRIM('[1]Personale di appoggio'!$F347)=TRIM([1]qualifiche!$E$9),[1]qualifiche!$D$9,
IF(TRIM('[1]Personale di appoggio'!$F347)=TRIM([1]qualifiche!$E$10),[1]qualifiche!$D$10,
IF(TRIM('[1]Personale di appoggio'!$F347)=TRIM([1]qualifiche!$E$11),[1]qualifiche!$D$11,""))))))))))</f>
        <v>2</v>
      </c>
      <c r="G346" s="5" t="s">
        <v>1875</v>
      </c>
      <c r="H346" s="5" t="s">
        <v>1876</v>
      </c>
      <c r="I346" s="6" t="s">
        <v>1877</v>
      </c>
      <c r="J346" s="7">
        <f>IF('[1]Personale di appoggio'!J347="X",1,0)</f>
        <v>1</v>
      </c>
      <c r="K346" s="7">
        <f>IF('[1]Personale di appoggio'!K347="X",1,0)</f>
        <v>0</v>
      </c>
      <c r="L346" s="7">
        <f>IF('[1]Personale di appoggio'!L347="X",1,0)</f>
        <v>0</v>
      </c>
      <c r="M346" s="7">
        <f>IF('[1]Personale di appoggio'!M347="X",1,0)</f>
        <v>0</v>
      </c>
      <c r="N346" s="3"/>
      <c r="O346" s="3"/>
      <c r="P346" s="11" t="str">
        <f>IF('[1]Personale di appoggio'!$P347="","",'[1]Personale di appoggio'!$P347)</f>
        <v>PRESSIONE: compresa certificazione PED
CTR e Ispettore Seveso</v>
      </c>
      <c r="Q346" s="4" t="s">
        <v>6</v>
      </c>
      <c r="R346" s="4">
        <f t="shared" si="5"/>
        <v>2</v>
      </c>
    </row>
    <row r="347" spans="1:18" ht="31.5" x14ac:dyDescent="0.45">
      <c r="A347" s="9">
        <v>347</v>
      </c>
      <c r="B347" s="2" t="s">
        <v>1878</v>
      </c>
      <c r="C347" s="3" t="s">
        <v>1879</v>
      </c>
      <c r="D347" s="3" t="s">
        <v>57</v>
      </c>
      <c r="E347" s="4">
        <f>IFERROR(INDEX([1]uot!$A$2:$A$40, MATCH("*"&amp;'[1]Personale di appoggio'!$D348&amp;"*", [1]uot!$B$2:$B$40, 0)), "Valore non trovato")</f>
        <v>21</v>
      </c>
      <c r="F347" s="4">
        <f>IF(TRIM('[1]Personale di appoggio'!$F348)=TRIM([1]qualifiche!$E$2),[1]qualifiche!$D$2,
IF(TRIM('[1]Personale di appoggio'!$F348)=TRIM([1]qualifiche!$E$3),[1]qualifiche!$D$3,
IF(TRIM('[1]Personale di appoggio'!$F348)=TRIM([1]qualifiche!$E$4),[1]qualifiche!$D$4,
IF(TRIM('[1]Personale di appoggio'!$F348)=TRIM([1]qualifiche!$E$5),[1]qualifiche!$D$5,
IF(TRIM('[1]Personale di appoggio'!$F348)=TRIM([1]qualifiche!$E$6),[1]qualifiche!$D$6,
IF(TRIM('[1]Personale di appoggio'!$F348)=TRIM([1]qualifiche!$E$7),[1]qualifiche!$D$7,
IF(TRIM('[1]Personale di appoggio'!$F348)=TRIM([1]qualifiche!$E$8),[1]qualifiche!$D$8,
IF(TRIM('[1]Personale di appoggio'!$F348)=TRIM([1]qualifiche!$E$9),[1]qualifiche!$D$9,
IF(TRIM('[1]Personale di appoggio'!$F348)=TRIM([1]qualifiche!$E$10),[1]qualifiche!$D$10,
IF(TRIM('[1]Personale di appoggio'!$F348)=TRIM([1]qualifiche!$E$11),[1]qualifiche!$D$11,""))))))))))</f>
        <v>2</v>
      </c>
      <c r="G347" s="5" t="s">
        <v>1880</v>
      </c>
      <c r="H347" s="5"/>
      <c r="I347" s="6" t="s">
        <v>1881</v>
      </c>
      <c r="J347" s="7">
        <f>IF('[1]Personale di appoggio'!J348="X",1,0)</f>
        <v>0</v>
      </c>
      <c r="K347" s="7">
        <f>IF('[1]Personale di appoggio'!K348="X",1,0)</f>
        <v>0</v>
      </c>
      <c r="L347" s="7">
        <f>IF('[1]Personale di appoggio'!L348="X",1,0)</f>
        <v>1</v>
      </c>
      <c r="M347" s="7">
        <f>IF('[1]Personale di appoggio'!M348="X",1,0)</f>
        <v>0</v>
      </c>
      <c r="N347" s="3"/>
      <c r="O347" s="3"/>
      <c r="P347" s="11" t="str">
        <f>IF('[1]Personale di appoggio'!$P348="","",'[1]Personale di appoggio'!$P348)</f>
        <v>CTR</v>
      </c>
      <c r="Q347" s="4" t="s">
        <v>6</v>
      </c>
      <c r="R347" s="4">
        <f t="shared" si="5"/>
        <v>2</v>
      </c>
    </row>
    <row r="348" spans="1:18" ht="141.75" x14ac:dyDescent="0.45">
      <c r="A348" s="9">
        <v>348</v>
      </c>
      <c r="B348" s="2" t="s">
        <v>1882</v>
      </c>
      <c r="C348" s="3" t="s">
        <v>1883</v>
      </c>
      <c r="D348" s="3" t="s">
        <v>1884</v>
      </c>
      <c r="E348" s="4">
        <f>IFERROR(INDEX([1]uot!$A$2:$A$40, MATCH("*"&amp;'[1]Personale di appoggio'!$D349&amp;"*", [1]uot!$B$2:$B$40, 0)), "Valore non trovato")</f>
        <v>21</v>
      </c>
      <c r="F348" s="4">
        <f>IF(TRIM('[1]Personale di appoggio'!$F349)=TRIM([1]qualifiche!$E$2),[1]qualifiche!$D$2,
IF(TRIM('[1]Personale di appoggio'!$F349)=TRIM([1]qualifiche!$E$3),[1]qualifiche!$D$3,
IF(TRIM('[1]Personale di appoggio'!$F349)=TRIM([1]qualifiche!$E$4),[1]qualifiche!$D$4,
IF(TRIM('[1]Personale di appoggio'!$F349)=TRIM([1]qualifiche!$E$5),[1]qualifiche!$D$5,
IF(TRIM('[1]Personale di appoggio'!$F349)=TRIM([1]qualifiche!$E$6),[1]qualifiche!$D$6,
IF(TRIM('[1]Personale di appoggio'!$F349)=TRIM([1]qualifiche!$E$7),[1]qualifiche!$D$7,
IF(TRIM('[1]Personale di appoggio'!$F349)=TRIM([1]qualifiche!$E$8),[1]qualifiche!$D$8,
IF(TRIM('[1]Personale di appoggio'!$F349)=TRIM([1]qualifiche!$E$9),[1]qualifiche!$D$9,
IF(TRIM('[1]Personale di appoggio'!$F349)=TRIM([1]qualifiche!$E$10),[1]qualifiche!$D$10,
IF(TRIM('[1]Personale di appoggio'!$F349)=TRIM([1]qualifiche!$E$11),[1]qualifiche!$D$11,""))))))))))</f>
        <v>5</v>
      </c>
      <c r="G348" s="5" t="s">
        <v>1885</v>
      </c>
      <c r="H348" s="5" t="s">
        <v>1886</v>
      </c>
      <c r="I348" s="6" t="s">
        <v>1887</v>
      </c>
      <c r="J348" s="7">
        <f>IF('[1]Personale di appoggio'!J349="X",1,0)</f>
        <v>1</v>
      </c>
      <c r="K348" s="7">
        <f>IF('[1]Personale di appoggio'!K349="X",1,0)</f>
        <v>0</v>
      </c>
      <c r="L348" s="7">
        <f>IF('[1]Personale di appoggio'!L349="X",1,0)</f>
        <v>1</v>
      </c>
      <c r="M348" s="7">
        <f>IF('[1]Personale di appoggio'!M349="X",1,0)</f>
        <v>0</v>
      </c>
      <c r="N348" s="3"/>
      <c r="O348" s="3"/>
      <c r="P348" s="11" t="str">
        <f>IF('[1]Personale di appoggio'!$P349="","",'[1]Personale di appoggio'!$P349)</f>
        <v>PRESSIONE: compresa certificazione PED e TPED 
Ispettore Seveso</v>
      </c>
      <c r="Q348" s="4" t="s">
        <v>6</v>
      </c>
      <c r="R348" s="4">
        <f t="shared" si="5"/>
        <v>2</v>
      </c>
    </row>
    <row r="349" spans="1:18" ht="31.5" x14ac:dyDescent="0.45">
      <c r="A349" s="9">
        <v>349</v>
      </c>
      <c r="B349" s="2" t="s">
        <v>1888</v>
      </c>
      <c r="C349" s="3" t="s">
        <v>1889</v>
      </c>
      <c r="D349" s="3" t="s">
        <v>1890</v>
      </c>
      <c r="E349" s="4">
        <f>IFERROR(INDEX([1]uot!$A$2:$A$40, MATCH("*"&amp;'[1]Personale di appoggio'!$D350&amp;"*", [1]uot!$B$2:$B$40, 0)), "Valore non trovato")</f>
        <v>21</v>
      </c>
      <c r="F349" s="4">
        <f>IF(TRIM('[1]Personale di appoggio'!$F350)=TRIM([1]qualifiche!$E$2),[1]qualifiche!$D$2,
IF(TRIM('[1]Personale di appoggio'!$F350)=TRIM([1]qualifiche!$E$3),[1]qualifiche!$D$3,
IF(TRIM('[1]Personale di appoggio'!$F350)=TRIM([1]qualifiche!$E$4),[1]qualifiche!$D$4,
IF(TRIM('[1]Personale di appoggio'!$F350)=TRIM([1]qualifiche!$E$5),[1]qualifiche!$D$5,
IF(TRIM('[1]Personale di appoggio'!$F350)=TRIM([1]qualifiche!$E$6),[1]qualifiche!$D$6,
IF(TRIM('[1]Personale di appoggio'!$F350)=TRIM([1]qualifiche!$E$7),[1]qualifiche!$D$7,
IF(TRIM('[1]Personale di appoggio'!$F350)=TRIM([1]qualifiche!$E$8),[1]qualifiche!$D$8,
IF(TRIM('[1]Personale di appoggio'!$F350)=TRIM([1]qualifiche!$E$9),[1]qualifiche!$D$9,
IF(TRIM('[1]Personale di appoggio'!$F350)=TRIM([1]qualifiche!$E$10),[1]qualifiche!$D$10,
IF(TRIM('[1]Personale di appoggio'!$F350)=TRIM([1]qualifiche!$E$11),[1]qualifiche!$D$11,""))))))))))</f>
        <v>4</v>
      </c>
      <c r="G349" s="5" t="s">
        <v>1891</v>
      </c>
      <c r="H349" s="5" t="s">
        <v>1892</v>
      </c>
      <c r="I349" s="6" t="s">
        <v>1893</v>
      </c>
      <c r="J349" s="7">
        <f>IF('[1]Personale di appoggio'!J350="X",1,0)</f>
        <v>0</v>
      </c>
      <c r="K349" s="7">
        <f>IF('[1]Personale di appoggio'!K350="X",1,0)</f>
        <v>0</v>
      </c>
      <c r="L349" s="7">
        <f>IF('[1]Personale di appoggio'!L350="X",1,0)</f>
        <v>1</v>
      </c>
      <c r="M349" s="7">
        <f>IF('[1]Personale di appoggio'!M350="X",1,0)</f>
        <v>0</v>
      </c>
      <c r="N349" s="3"/>
      <c r="O349" s="3"/>
      <c r="P349" s="11" t="str">
        <f>IF('[1]Personale di appoggio'!$P350="","",'[1]Personale di appoggio'!$P350)</f>
        <v/>
      </c>
      <c r="Q349" s="4" t="s">
        <v>6</v>
      </c>
      <c r="R349" s="4">
        <f t="shared" si="5"/>
        <v>2</v>
      </c>
    </row>
    <row r="350" spans="1:18" ht="220.5" x14ac:dyDescent="0.45">
      <c r="A350" s="9">
        <v>350</v>
      </c>
      <c r="B350" s="2" t="s">
        <v>1894</v>
      </c>
      <c r="C350" s="3" t="s">
        <v>1895</v>
      </c>
      <c r="D350" s="3" t="s">
        <v>1896</v>
      </c>
      <c r="E350" s="4">
        <f>IFERROR(INDEX([1]uot!$A$2:$A$40, MATCH("*"&amp;'[1]Personale di appoggio'!$D351&amp;"*", [1]uot!$B$2:$B$40, 0)), "Valore non trovato")</f>
        <v>21</v>
      </c>
      <c r="F350" s="4">
        <f>IF(TRIM('[1]Personale di appoggio'!$F351)=TRIM([1]qualifiche!$E$2),[1]qualifiche!$D$2,
IF(TRIM('[1]Personale di appoggio'!$F351)=TRIM([1]qualifiche!$E$3),[1]qualifiche!$D$3,
IF(TRIM('[1]Personale di appoggio'!$F351)=TRIM([1]qualifiche!$E$4),[1]qualifiche!$D$4,
IF(TRIM('[1]Personale di appoggio'!$F351)=TRIM([1]qualifiche!$E$5),[1]qualifiche!$D$5,
IF(TRIM('[1]Personale di appoggio'!$F351)=TRIM([1]qualifiche!$E$6),[1]qualifiche!$D$6,
IF(TRIM('[1]Personale di appoggio'!$F351)=TRIM([1]qualifiche!$E$7),[1]qualifiche!$D$7,
IF(TRIM('[1]Personale di appoggio'!$F351)=TRIM([1]qualifiche!$E$8),[1]qualifiche!$D$8,
IF(TRIM('[1]Personale di appoggio'!$F351)=TRIM([1]qualifiche!$E$9),[1]qualifiche!$D$9,
IF(TRIM('[1]Personale di appoggio'!$F351)=TRIM([1]qualifiche!$E$10),[1]qualifiche!$D$10,
IF(TRIM('[1]Personale di appoggio'!$F351)=TRIM([1]qualifiche!$E$11),[1]qualifiche!$D$11,""))))))))))</f>
        <v>4</v>
      </c>
      <c r="G350" s="5" t="s">
        <v>1897</v>
      </c>
      <c r="H350" s="5" t="s">
        <v>1898</v>
      </c>
      <c r="I350" s="6" t="s">
        <v>1899</v>
      </c>
      <c r="J350" s="7">
        <f>IF('[1]Personale di appoggio'!J351="X",1,0)</f>
        <v>1</v>
      </c>
      <c r="K350" s="7">
        <f>IF('[1]Personale di appoggio'!K351="X",1,0)</f>
        <v>0</v>
      </c>
      <c r="L350" s="7">
        <f>IF('[1]Personale di appoggio'!L351="X",1,0)</f>
        <v>1</v>
      </c>
      <c r="M350" s="7">
        <f>IF('[1]Personale di appoggio'!M351="X",1,0)</f>
        <v>0</v>
      </c>
      <c r="N350" s="3"/>
      <c r="O350" s="3"/>
      <c r="P350" s="11" t="str">
        <f>IF('[1]Personale di appoggio'!$P351="","",'[1]Personale di appoggio'!$P351)</f>
        <v>PRESSIONE: compresa certificazione TPED 
Abiliazione Seveso in corso (agg. 15/05/2024)</v>
      </c>
      <c r="Q350" s="4" t="s">
        <v>6</v>
      </c>
      <c r="R350" s="4">
        <f t="shared" si="5"/>
        <v>2</v>
      </c>
    </row>
    <row r="351" spans="1:18" ht="173.25" x14ac:dyDescent="0.45">
      <c r="A351" s="9">
        <v>351</v>
      </c>
      <c r="B351" s="2" t="s">
        <v>1900</v>
      </c>
      <c r="C351" s="3" t="s">
        <v>1901</v>
      </c>
      <c r="D351" s="3" t="s">
        <v>1902</v>
      </c>
      <c r="E351" s="4">
        <f>IFERROR(INDEX([1]uot!$A$2:$A$40, MATCH("*"&amp;'[1]Personale di appoggio'!$D352&amp;"*", [1]uot!$B$2:$B$40, 0)), "Valore non trovato")</f>
        <v>21</v>
      </c>
      <c r="F351" s="4">
        <f>IF(TRIM('[1]Personale di appoggio'!$F352)=TRIM([1]qualifiche!$E$2),[1]qualifiche!$D$2,
IF(TRIM('[1]Personale di appoggio'!$F352)=TRIM([1]qualifiche!$E$3),[1]qualifiche!$D$3,
IF(TRIM('[1]Personale di appoggio'!$F352)=TRIM([1]qualifiche!$E$4),[1]qualifiche!$D$4,
IF(TRIM('[1]Personale di appoggio'!$F352)=TRIM([1]qualifiche!$E$5),[1]qualifiche!$D$5,
IF(TRIM('[1]Personale di appoggio'!$F352)=TRIM([1]qualifiche!$E$6),[1]qualifiche!$D$6,
IF(TRIM('[1]Personale di appoggio'!$F352)=TRIM([1]qualifiche!$E$7),[1]qualifiche!$D$7,
IF(TRIM('[1]Personale di appoggio'!$F352)=TRIM([1]qualifiche!$E$8),[1]qualifiche!$D$8,
IF(TRIM('[1]Personale di appoggio'!$F352)=TRIM([1]qualifiche!$E$9),[1]qualifiche!$D$9,
IF(TRIM('[1]Personale di appoggio'!$F352)=TRIM([1]qualifiche!$E$10),[1]qualifiche!$D$10,
IF(TRIM('[1]Personale di appoggio'!$F352)=TRIM([1]qualifiche!$E$11),[1]qualifiche!$D$11,""))))))))))</f>
        <v>7</v>
      </c>
      <c r="G351" s="5" t="s">
        <v>1903</v>
      </c>
      <c r="H351" s="5" t="s">
        <v>1904</v>
      </c>
      <c r="I351" s="6" t="s">
        <v>1905</v>
      </c>
      <c r="J351" s="7">
        <f>IF('[1]Personale di appoggio'!J352="X",1,0)</f>
        <v>0</v>
      </c>
      <c r="K351" s="7">
        <f>IF('[1]Personale di appoggio'!K352="X",1,0)</f>
        <v>0</v>
      </c>
      <c r="L351" s="7">
        <f>IF('[1]Personale di appoggio'!L352="X",1,0)</f>
        <v>0</v>
      </c>
      <c r="M351" s="7">
        <f>IF('[1]Personale di appoggio'!M352="X",1,0)</f>
        <v>1</v>
      </c>
      <c r="N351" s="3"/>
      <c r="O351" s="3"/>
      <c r="P351" s="11" t="str">
        <f>IF('[1]Personale di appoggio'!$P352="","",'[1]Personale di appoggio'!$P352)</f>
        <v>Supporto Amministrativo
Attualmente in aspettativa all'estero (agg. 15/05/2024)</v>
      </c>
      <c r="Q351" s="4" t="s">
        <v>6</v>
      </c>
      <c r="R351" s="4">
        <f t="shared" si="5"/>
        <v>2</v>
      </c>
    </row>
    <row r="352" spans="1:18" ht="47.25" x14ac:dyDescent="0.45">
      <c r="A352" s="9">
        <v>352</v>
      </c>
      <c r="B352" s="2" t="s">
        <v>1906</v>
      </c>
      <c r="C352" s="3" t="s">
        <v>563</v>
      </c>
      <c r="D352" s="3" t="s">
        <v>1907</v>
      </c>
      <c r="E352" s="4">
        <f>IFERROR(INDEX([1]uot!$A$2:$A$40, MATCH("*"&amp;'[1]Personale di appoggio'!$D353&amp;"*", [1]uot!$B$2:$B$40, 0)), "Valore non trovato")</f>
        <v>21</v>
      </c>
      <c r="F352" s="4">
        <f>IF(TRIM('[1]Personale di appoggio'!$F353)=TRIM([1]qualifiche!$E$2),[1]qualifiche!$D$2,
IF(TRIM('[1]Personale di appoggio'!$F353)=TRIM([1]qualifiche!$E$3),[1]qualifiche!$D$3,
IF(TRIM('[1]Personale di appoggio'!$F353)=TRIM([1]qualifiche!$E$4),[1]qualifiche!$D$4,
IF(TRIM('[1]Personale di appoggio'!$F353)=TRIM([1]qualifiche!$E$5),[1]qualifiche!$D$5,
IF(TRIM('[1]Personale di appoggio'!$F353)=TRIM([1]qualifiche!$E$6),[1]qualifiche!$D$6,
IF(TRIM('[1]Personale di appoggio'!$F353)=TRIM([1]qualifiche!$E$7),[1]qualifiche!$D$7,
IF(TRIM('[1]Personale di appoggio'!$F353)=TRIM([1]qualifiche!$E$8),[1]qualifiche!$D$8,
IF(TRIM('[1]Personale di appoggio'!$F353)=TRIM([1]qualifiche!$E$9),[1]qualifiche!$D$9,
IF(TRIM('[1]Personale di appoggio'!$F353)=TRIM([1]qualifiche!$E$10),[1]qualifiche!$D$10,
IF(TRIM('[1]Personale di appoggio'!$F353)=TRIM([1]qualifiche!$E$11),[1]qualifiche!$D$11,""))))))))))</f>
        <v>7</v>
      </c>
      <c r="G352" s="5" t="s">
        <v>1908</v>
      </c>
      <c r="H352" s="5" t="s">
        <v>1909</v>
      </c>
      <c r="I352" s="6" t="s">
        <v>1910</v>
      </c>
      <c r="J352" s="7">
        <f>IF('[1]Personale di appoggio'!J353="X",1,0)</f>
        <v>0</v>
      </c>
      <c r="K352" s="7">
        <f>IF('[1]Personale di appoggio'!K353="X",1,0)</f>
        <v>0</v>
      </c>
      <c r="L352" s="7">
        <f>IF('[1]Personale di appoggio'!L353="X",1,0)</f>
        <v>1</v>
      </c>
      <c r="M352" s="7">
        <f>IF('[1]Personale di appoggio'!M353="X",1,0)</f>
        <v>1</v>
      </c>
      <c r="N352" s="3"/>
      <c r="O352" s="3"/>
      <c r="P352" s="11" t="str">
        <f>IF('[1]Personale di appoggio'!$P353="","",'[1]Personale di appoggio'!$P353)</f>
        <v>Supporto Amministrativo</v>
      </c>
      <c r="Q352" s="4" t="s">
        <v>6</v>
      </c>
      <c r="R352" s="4">
        <f t="shared" si="5"/>
        <v>2</v>
      </c>
    </row>
    <row r="353" spans="1:18" ht="47.25" x14ac:dyDescent="0.45">
      <c r="A353" s="9">
        <v>353</v>
      </c>
      <c r="B353" s="2" t="s">
        <v>1911</v>
      </c>
      <c r="C353" s="3" t="s">
        <v>1912</v>
      </c>
      <c r="D353" s="3" t="s">
        <v>1102</v>
      </c>
      <c r="E353" s="4">
        <f>IFERROR(INDEX([1]uot!$A$2:$A$40, MATCH("*"&amp;'[1]Personale di appoggio'!$D354&amp;"*", [1]uot!$B$2:$B$40, 0)), "Valore non trovato")</f>
        <v>21</v>
      </c>
      <c r="F353" s="4">
        <f>IF(TRIM('[1]Personale di appoggio'!$F354)=TRIM([1]qualifiche!$E$2),[1]qualifiche!$D$2,
IF(TRIM('[1]Personale di appoggio'!$F354)=TRIM([1]qualifiche!$E$3),[1]qualifiche!$D$3,
IF(TRIM('[1]Personale di appoggio'!$F354)=TRIM([1]qualifiche!$E$4),[1]qualifiche!$D$4,
IF(TRIM('[1]Personale di appoggio'!$F354)=TRIM([1]qualifiche!$E$5),[1]qualifiche!$D$5,
IF(TRIM('[1]Personale di appoggio'!$F354)=TRIM([1]qualifiche!$E$6),[1]qualifiche!$D$6,
IF(TRIM('[1]Personale di appoggio'!$F354)=TRIM([1]qualifiche!$E$7),[1]qualifiche!$D$7,
IF(TRIM('[1]Personale di appoggio'!$F354)=TRIM([1]qualifiche!$E$8),[1]qualifiche!$D$8,
IF(TRIM('[1]Personale di appoggio'!$F354)=TRIM([1]qualifiche!$E$9),[1]qualifiche!$D$9,
IF(TRIM('[1]Personale di appoggio'!$F354)=TRIM([1]qualifiche!$E$10),[1]qualifiche!$D$10,
IF(TRIM('[1]Personale di appoggio'!$F354)=TRIM([1]qualifiche!$E$11),[1]qualifiche!$D$11,""))))))))))</f>
        <v>7</v>
      </c>
      <c r="G353" s="5" t="s">
        <v>1913</v>
      </c>
      <c r="H353" s="5" t="s">
        <v>1914</v>
      </c>
      <c r="I353" s="6" t="s">
        <v>1915</v>
      </c>
      <c r="J353" s="7">
        <f>IF('[1]Personale di appoggio'!J354="X",1,0)</f>
        <v>1</v>
      </c>
      <c r="K353" s="7">
        <f>IF('[1]Personale di appoggio'!K354="X",1,0)</f>
        <v>1</v>
      </c>
      <c r="L353" s="7">
        <f>IF('[1]Personale di appoggio'!L354="X",1,0)</f>
        <v>0</v>
      </c>
      <c r="M353" s="7">
        <f>IF('[1]Personale di appoggio'!M354="X",1,0)</f>
        <v>0</v>
      </c>
      <c r="N353" s="3"/>
      <c r="O353" s="3"/>
      <c r="P353" s="11" t="str">
        <f>IF('[1]Personale di appoggio'!$P354="","",'[1]Personale di appoggio'!$P354)</f>
        <v>Supporto Amministrativo</v>
      </c>
      <c r="Q353" s="4" t="s">
        <v>6</v>
      </c>
      <c r="R353" s="4">
        <f t="shared" si="5"/>
        <v>2</v>
      </c>
    </row>
    <row r="354" spans="1:18" ht="31.5" x14ac:dyDescent="0.45">
      <c r="A354" s="9">
        <v>354</v>
      </c>
      <c r="B354" s="2" t="s">
        <v>1916</v>
      </c>
      <c r="C354" s="3" t="s">
        <v>1917</v>
      </c>
      <c r="D354" s="3" t="s">
        <v>63</v>
      </c>
      <c r="E354" s="4">
        <f>IFERROR(INDEX([1]uot!$A$2:$A$40, MATCH("*"&amp;'[1]Personale di appoggio'!$D355&amp;"*", [1]uot!$B$2:$B$40, 0)), "Valore non trovato")</f>
        <v>21</v>
      </c>
      <c r="F354" s="4">
        <f>IF(TRIM('[1]Personale di appoggio'!$F355)=TRIM([1]qualifiche!$E$2),[1]qualifiche!$D$2,
IF(TRIM('[1]Personale di appoggio'!$F355)=TRIM([1]qualifiche!$E$3),[1]qualifiche!$D$3,
IF(TRIM('[1]Personale di appoggio'!$F355)=TRIM([1]qualifiche!$E$4),[1]qualifiche!$D$4,
IF(TRIM('[1]Personale di appoggio'!$F355)=TRIM([1]qualifiche!$E$5),[1]qualifiche!$D$5,
IF(TRIM('[1]Personale di appoggio'!$F355)=TRIM([1]qualifiche!$E$6),[1]qualifiche!$D$6,
IF(TRIM('[1]Personale di appoggio'!$F355)=TRIM([1]qualifiche!$E$7),[1]qualifiche!$D$7,
IF(TRIM('[1]Personale di appoggio'!$F355)=TRIM([1]qualifiche!$E$8),[1]qualifiche!$D$8,
IF(TRIM('[1]Personale di appoggio'!$F355)=TRIM([1]qualifiche!$E$9),[1]qualifiche!$D$9,
IF(TRIM('[1]Personale di appoggio'!$F355)=TRIM([1]qualifiche!$E$10),[1]qualifiche!$D$10,
IF(TRIM('[1]Personale di appoggio'!$F355)=TRIM([1]qualifiche!$E$11),[1]qualifiche!$D$11,""))))))))))</f>
        <v>8</v>
      </c>
      <c r="G354" s="5" t="s">
        <v>1918</v>
      </c>
      <c r="H354" s="5" t="s">
        <v>1919</v>
      </c>
      <c r="I354" s="6" t="s">
        <v>1920</v>
      </c>
      <c r="J354" s="7">
        <f>IF('[1]Personale di appoggio'!J355="X",1,0)</f>
        <v>0</v>
      </c>
      <c r="K354" s="7">
        <f>IF('[1]Personale di appoggio'!K355="X",1,0)</f>
        <v>0</v>
      </c>
      <c r="L354" s="7">
        <f>IF('[1]Personale di appoggio'!L355="X",1,0)</f>
        <v>0</v>
      </c>
      <c r="M354" s="7">
        <f>IF('[1]Personale di appoggio'!M355="X",1,0)</f>
        <v>0</v>
      </c>
      <c r="N354" s="3"/>
      <c r="O354" s="3"/>
      <c r="P354" s="11" t="str">
        <f>IF('[1]Personale di appoggio'!$P355="","",'[1]Personale di appoggio'!$P355)</f>
        <v/>
      </c>
      <c r="Q354" s="4" t="s">
        <v>6</v>
      </c>
      <c r="R354" s="4">
        <f t="shared" si="5"/>
        <v>4</v>
      </c>
    </row>
    <row r="355" spans="1:18" ht="110.25" x14ac:dyDescent="0.45">
      <c r="A355" s="9">
        <v>355</v>
      </c>
      <c r="B355" s="2" t="s">
        <v>1921</v>
      </c>
      <c r="C355" s="3" t="s">
        <v>1922</v>
      </c>
      <c r="D355" s="3" t="s">
        <v>1923</v>
      </c>
      <c r="E355" s="4">
        <f>IFERROR(INDEX([1]uot!$A$2:$A$40, MATCH("*"&amp;'[1]Personale di appoggio'!$D356&amp;"*", [1]uot!$B$2:$B$40, 0)), "Valore non trovato")</f>
        <v>22</v>
      </c>
      <c r="F355" s="4">
        <f>IF(TRIM('[1]Personale di appoggio'!$F356)=TRIM([1]qualifiche!$E$2),[1]qualifiche!$D$2,
IF(TRIM('[1]Personale di appoggio'!$F356)=TRIM([1]qualifiche!$E$3),[1]qualifiche!$D$3,
IF(TRIM('[1]Personale di appoggio'!$F356)=TRIM([1]qualifiche!$E$4),[1]qualifiche!$D$4,
IF(TRIM('[1]Personale di appoggio'!$F356)=TRIM([1]qualifiche!$E$5),[1]qualifiche!$D$5,
IF(TRIM('[1]Personale di appoggio'!$F356)=TRIM([1]qualifiche!$E$6),[1]qualifiche!$D$6,
IF(TRIM('[1]Personale di appoggio'!$F356)=TRIM([1]qualifiche!$E$7),[1]qualifiche!$D$7,
IF(TRIM('[1]Personale di appoggio'!$F356)=TRIM([1]qualifiche!$E$8),[1]qualifiche!$D$8,
IF(TRIM('[1]Personale di appoggio'!$F356)=TRIM([1]qualifiche!$E$9),[1]qualifiche!$D$9,
IF(TRIM('[1]Personale di appoggio'!$F356)=TRIM([1]qualifiche!$E$10),[1]qualifiche!$D$10,
IF(TRIM('[1]Personale di appoggio'!$F356)=TRIM([1]qualifiche!$E$11),[1]qualifiche!$D$11,""))))))))))</f>
        <v>1</v>
      </c>
      <c r="G355" s="5" t="s">
        <v>1924</v>
      </c>
      <c r="H355" s="5" t="s">
        <v>1925</v>
      </c>
      <c r="I355" s="6" t="s">
        <v>1926</v>
      </c>
      <c r="J355" s="7">
        <f>IF('[1]Personale di appoggio'!J356="X",1,0)</f>
        <v>0</v>
      </c>
      <c r="K355" s="7">
        <f>IF('[1]Personale di appoggio'!K356="X",1,0)</f>
        <v>1</v>
      </c>
      <c r="L355" s="7">
        <f>IF('[1]Personale di appoggio'!L356="X",1,0)</f>
        <v>0</v>
      </c>
      <c r="M355" s="7">
        <f>IF('[1]Personale di appoggio'!M356="X",1,0)</f>
        <v>1</v>
      </c>
      <c r="N355" s="3"/>
      <c r="O355" s="3"/>
      <c r="P355" s="11" t="str">
        <f>IF('[1]Personale di appoggio'!$P356="","",'[1]Personale di appoggio'!$P356)</f>
        <v>SOLLEVAMENTO: Ascensori e Montacarichi da Cantiere</v>
      </c>
      <c r="Q355" s="4" t="s">
        <v>6</v>
      </c>
      <c r="R355" s="4">
        <f t="shared" si="5"/>
        <v>2</v>
      </c>
    </row>
  </sheetData>
  <hyperlinks>
    <hyperlink ref="I8" r:id="rId1" display="d.carbonari@inail.it "/>
    <hyperlink ref="I7" r:id="rId2" display="d.cionchi@inail.it "/>
    <hyperlink ref="I9" r:id="rId3" display="f.piracci@inail.it "/>
    <hyperlink ref="I11" r:id="rId4"/>
    <hyperlink ref="I10" r:id="rId5" display="r.giraldi@inail.it "/>
    <hyperlink ref="I3" r:id="rId6" display="a.urso@inail.it "/>
    <hyperlink ref="I4" r:id="rId7" display="g.conta@inail.it "/>
    <hyperlink ref="I1" r:id="rId8"/>
    <hyperlink ref="I6" r:id="rId9" display="o.forlini@inail.it "/>
    <hyperlink ref="I5" r:id="rId10" display="s.dente@inail.it "/>
    <hyperlink ref="I2" r:id="rId11" display="v.prete@inail.it "/>
    <hyperlink ref="I13" r:id="rId12" display="c.piccolo@inail.it "/>
    <hyperlink ref="I15" r:id="rId13" display="c.detoro@inail.it "/>
    <hyperlink ref="I21" r:id="rId14" display="e.spagnuolo@inail.it "/>
    <hyperlink ref="I22" r:id="rId15"/>
    <hyperlink ref="I14" r:id="rId16" display="g.battista@inail.it "/>
    <hyperlink ref="I17" r:id="rId17"/>
    <hyperlink ref="I18" r:id="rId18" display="o.didonato@inail.it "/>
    <hyperlink ref="I19" r:id="rId19" display="r.modestino@inail.it "/>
    <hyperlink ref="I12" r:id="rId20" display="p.infortuna@inail.it "/>
    <hyperlink ref="I30" r:id="rId21"/>
    <hyperlink ref="I29" r:id="rId22"/>
    <hyperlink ref="I28" r:id="rId23"/>
    <hyperlink ref="I27" r:id="rId24"/>
    <hyperlink ref="I26" r:id="rId25"/>
    <hyperlink ref="I249" r:id="rId26" display="mailto:g.paiardini@inail.it"/>
    <hyperlink ref="I248" r:id="rId27" display="mailto:r.vasile@inail.it"/>
    <hyperlink ref="I256" r:id="rId28" display="mailto:a.lanciotti@inail.it"/>
    <hyperlink ref="I253" r:id="rId29" display="mailto:a.dalessandro@inail.it"/>
    <hyperlink ref="I252" r:id="rId30" display="mailto:b.volpe@inail.it"/>
    <hyperlink ref="I250" r:id="rId31" display="mailto:c.bizzi@inail.it"/>
    <hyperlink ref="I258" r:id="rId32" display="mailto:f.vitucci@inail.it"/>
    <hyperlink ref="I251" r:id="rId33" display="mailto:f.filograsso@inail.it"/>
    <hyperlink ref="I255" r:id="rId34" display="mailto:f.ioppolo@inail.it"/>
    <hyperlink ref="I247" r:id="rId35" display="mailto:g.diiorio@inail.it"/>
    <hyperlink ref="I257" r:id="rId36" display="mailto:r.tucceri@inail.it"/>
    <hyperlink ref="I254" r:id="rId37" display="mailto:v.dalessandro@inail.it"/>
    <hyperlink ref="I246" r:id="rId38" display="mailto:r.iovene@inail.it"/>
    <hyperlink ref="I135" r:id="rId39"/>
    <hyperlink ref="I132" r:id="rId40" display="rg.russo@inail.it "/>
    <hyperlink ref="I133" r:id="rId41"/>
    <hyperlink ref="I75" r:id="rId42"/>
    <hyperlink ref="I79" r:id="rId43" display="d.cannas@inail.it "/>
    <hyperlink ref="I82" r:id="rId44"/>
    <hyperlink ref="I80" r:id="rId45"/>
    <hyperlink ref="I74" r:id="rId46" display="l.carta@inail.it "/>
    <hyperlink ref="I77" r:id="rId47" display="m.maurino@inail.it "/>
    <hyperlink ref="I76" r:id="rId48" display="o.spanu@inail.it "/>
    <hyperlink ref="I78" r:id="rId49" display="p.maurino@inail.it "/>
    <hyperlink ref="I73" r:id="rId50" display="r.balistreri@inail.it "/>
    <hyperlink ref="I81" r:id="rId51" display="r.giua@inail.it "/>
    <hyperlink ref="I330" r:id="rId52" display="a.scanu@inail.it  "/>
    <hyperlink ref="I324" r:id="rId53" display="an.ianno@inail.it "/>
    <hyperlink ref="I327" r:id="rId54" display="f.biondini@inail.it "/>
    <hyperlink ref="I331" r:id="rId55"/>
    <hyperlink ref="I322" r:id="rId56"/>
    <hyperlink ref="I321" r:id="rId57" display="m.tini@inail.it "/>
    <hyperlink ref="I323" r:id="rId58" display="p.tattoli@inail.it "/>
    <hyperlink ref="I325" r:id="rId59" display="p.nannini@inail.it "/>
    <hyperlink ref="I328" r:id="rId60"/>
    <hyperlink ref="I326" r:id="rId61"/>
    <hyperlink ref="I221" r:id="rId62" display="a.salmaso@inail.it "/>
    <hyperlink ref="I223" r:id="rId63"/>
    <hyperlink ref="I222" r:id="rId64" display="d.sanzi@inail.it "/>
    <hyperlink ref="I220" r:id="rId65" display="f.panin@inail.it "/>
    <hyperlink ref="I224" r:id="rId66" display="s.ballotta@inail.it "/>
    <hyperlink ref="I311" r:id="rId67" display="a.sibilano@inail.it "/>
    <hyperlink ref="I317" r:id="rId68" display="an.pellegrini@inail.it "/>
    <hyperlink ref="I319" r:id="rId69" display="a.mele@inail.it "/>
    <hyperlink ref="I314" r:id="rId70"/>
    <hyperlink ref="I312" r:id="rId71" display="d.manca@inail.it "/>
    <hyperlink ref="I313" r:id="rId72" display="e.diponzio@inail.it "/>
    <hyperlink ref="I320" r:id="rId73" display="f.perri@inail.it "/>
    <hyperlink ref="I315" r:id="rId74"/>
    <hyperlink ref="I316" r:id="rId75"/>
    <hyperlink ref="I310" r:id="rId76" display="v.galasso@inail.it "/>
    <hyperlink ref="I68" r:id="rId77" display="f.rossetti@inail.it "/>
    <hyperlink ref="I72" r:id="rId78" display="m.loda@inail.it "/>
    <hyperlink ref="I69" r:id="rId79" display="n.palumbo@inail.it "/>
    <hyperlink ref="I70" r:id="rId80" display="na.rizzo@inail.it "/>
    <hyperlink ref="I71" r:id="rId81" display="t.scalici@inail.it "/>
    <hyperlink ref="I178" r:id="rId82" display="a.colautto@inail.it "/>
    <hyperlink ref="I183" r:id="rId83" display="c.nastasi@inail.it "/>
    <hyperlink ref="I186" r:id="rId84" display="e.zaccagnini@inail.it "/>
    <hyperlink ref="I182" r:id="rId85" display="g.olivo@inail.it "/>
    <hyperlink ref="I180" r:id="rId86" display="i.mazzarelli@inail.it "/>
    <hyperlink ref="I179" r:id="rId87" display="l.gallerano@inail.it "/>
    <hyperlink ref="I184" r:id="rId88"/>
    <hyperlink ref="I176" r:id="rId89" display="m.demattia@inail.it "/>
    <hyperlink ref="I181" r:id="rId90" display="p.lipari@inail.it "/>
    <hyperlink ref="I185" r:id="rId91" display="s.valletta@inail.it "/>
    <hyperlink ref="I260" r:id="rId92" display="a.cagnoni@inail.it "/>
    <hyperlink ref="I177" r:id="rId93" display="a.andolina@inail.it "/>
    <hyperlink ref="I341" r:id="rId94"/>
    <hyperlink ref="I340" r:id="rId95" display="l.lorusso@inail.it "/>
    <hyperlink ref="I342" r:id="rId96" display="d.greatti@inail.it "/>
    <hyperlink ref="I339" r:id="rId97" display="m.larice@inail.it "/>
    <hyperlink ref="I343" r:id="rId98"/>
    <hyperlink ref="I148" r:id="rId99"/>
    <hyperlink ref="I144" r:id="rId100" display="an.guerra@inail.it "/>
    <hyperlink ref="I145" r:id="rId101" display="a.margutti@inail.it "/>
    <hyperlink ref="I153" r:id="rId102" display="c.sclano@inail.it "/>
    <hyperlink ref="I150" r:id="rId103" display="e.mazzetti@inail.it "/>
    <hyperlink ref="I151" r:id="rId104" display="e.beccati@inail.it "/>
    <hyperlink ref="I146" r:id="rId105" display="l.minerva@inail.it "/>
    <hyperlink ref="I147" r:id="rId106"/>
    <hyperlink ref="I152" r:id="rId107"/>
    <hyperlink ref="I149" r:id="rId108" display="r.cigliano@inail.it "/>
    <hyperlink ref="I61" r:id="rId109" display="b.conestabiledellastaffa@inail.it "/>
    <hyperlink ref="I63" r:id="rId110" display="d.tropiano@inail.it "/>
    <hyperlink ref="I62" r:id="rId111" display="fa.zichichi@inail.it "/>
    <hyperlink ref="I66" r:id="rId112" display="f.scala@inail.it "/>
    <hyperlink ref="I57" r:id="rId113"/>
    <hyperlink ref="I58" r:id="rId114"/>
    <hyperlink ref="I60" r:id="rId115" display="p.pantalone@inail.it "/>
    <hyperlink ref="I59" r:id="rId116" display="r.denicola@inail.it "/>
    <hyperlink ref="I305" r:id="rId117" display="a.accascina@inail.it "/>
    <hyperlink ref="I306" r:id="rId118" display="a.bebbere@inail.it "/>
    <hyperlink ref="I307" r:id="rId119" display="f.saba@inail.it "/>
    <hyperlink ref="I308" r:id="rId120"/>
    <hyperlink ref="I304" r:id="rId121"/>
    <hyperlink ref="I98" r:id="rId122"/>
    <hyperlink ref="I89" r:id="rId123" display="c.percolla@inail.it "/>
    <hyperlink ref="I96" r:id="rId124" display="d.scalia@inail.it "/>
    <hyperlink ref="I88" r:id="rId125" display="d.barresi@inail.it "/>
    <hyperlink ref="I91" r:id="rId126" display="d.tuttolomondo@inail.it "/>
    <hyperlink ref="I99" r:id="rId127" display="m.arfo@inail.it "/>
    <hyperlink ref="I93" r:id="rId128" display="o.isaia@inail.it "/>
    <hyperlink ref="I94" r:id="rId129" display="n.lepiscopo@inail.it "/>
    <hyperlink ref="I95" r:id="rId130" display="r.randazzo@inail.it "/>
    <hyperlink ref="I92" r:id="rId131"/>
    <hyperlink ref="I100" r:id="rId132"/>
    <hyperlink ref="I87" r:id="rId133" display="s.festa@inail.it "/>
    <hyperlink ref="I90" r:id="rId134" display="v.polizzotto@inail.it "/>
    <hyperlink ref="I114" r:id="rId135" display="a.muratore@inail.it "/>
    <hyperlink ref="I113" r:id="rId136"/>
    <hyperlink ref="I115" r:id="rId137" display="m.marziliano@inail.it "/>
    <hyperlink ref="I116" r:id="rId138" display="n.giannoccaro@inail.it "/>
    <hyperlink ref="I245" r:id="rId139" display="g.grillone@inail.it "/>
    <hyperlink ref="I140" r:id="rId140" display="l.fascioli@inail.it "/>
    <hyperlink ref="I139" r:id="rId141" display="r.ciancio@inail.it "/>
    <hyperlink ref="I155" r:id="rId142" display="a.dalmonte@inail.it "/>
    <hyperlink ref="I159" r:id="rId143" display="e.lomele@inail.it "/>
    <hyperlink ref="I154" r:id="rId144" display="e.franchi@inail.it "/>
    <hyperlink ref="I157" r:id="rId145"/>
    <hyperlink ref="I158" r:id="rId146"/>
    <hyperlink ref="I161" r:id="rId147"/>
    <hyperlink ref="I160" r:id="rId148"/>
    <hyperlink ref="I156" r:id="rId149" display="n.bravi@inail.it "/>
    <hyperlink ref="I237" r:id="rId150"/>
    <hyperlink ref="I230" r:id="rId151" display="d.difonzo@inail.it "/>
    <hyperlink ref="I226" r:id="rId152"/>
    <hyperlink ref="I239" r:id="rId153"/>
    <hyperlink ref="I236" r:id="rId154" display="f.sofia@inail.it "/>
    <hyperlink ref="I232" r:id="rId155" display="g.sunseri@inail.it "/>
    <hyperlink ref="I234" r:id="rId156" display="gi.vaccaro@inail.it "/>
    <hyperlink ref="I228" r:id="rId157" display="gi.argento@inail.it "/>
    <hyperlink ref="I240" r:id="rId158"/>
    <hyperlink ref="I229" r:id="rId159" display="m.bellissimo@inail.it "/>
    <hyperlink ref="I227" r:id="rId160" display="p.amodeo@inail.it "/>
    <hyperlink ref="I233" r:id="rId161" display="r.sunseri@inail.it "/>
    <hyperlink ref="I242" r:id="rId162"/>
    <hyperlink ref="I231" r:id="rId163" display="v.nastasi@inail.it "/>
    <hyperlink ref="I345" r:id="rId164" display="a.depalma@inail.it "/>
    <hyperlink ref="I349" r:id="rId165" display="f.rocchi@inail.it "/>
    <hyperlink ref="I344" r:id="rId166" display="f.boella@inail.it "/>
    <hyperlink ref="I351" r:id="rId167"/>
    <hyperlink ref="I346" r:id="rId168" display="m.piovesan@inail.it "/>
    <hyperlink ref="I347" r:id="rId169" display="r.acerboni@inail.it "/>
    <hyperlink ref="I348" r:id="rId170" display="s.penzo@inail.it "/>
    <hyperlink ref="I56" r:id="rId171"/>
    <hyperlink ref="I54" r:id="rId172" display="p.lunardelli@inail.it "/>
    <hyperlink ref="I53" r:id="rId173" display="s.vacquer@inail.it "/>
    <hyperlink ref="I336" r:id="rId174" display="a.micciola@inail.it "/>
    <hyperlink ref="I333" r:id="rId175" display="f.moncini@inail.it "/>
    <hyperlink ref="I335" r:id="rId176" display="mar.tedesco@inail.it "/>
    <hyperlink ref="I332" r:id="rId177" display="p.infortuna@inail.it "/>
    <hyperlink ref="I337" r:id="rId178" display="r.senatore@inail.it "/>
    <hyperlink ref="I338" r:id="rId179" display="r.piccin@inail.it "/>
    <hyperlink ref="I334" r:id="rId180" display="s.spinoso@inail.it "/>
    <hyperlink ref="I268" r:id="rId181" display="b.defina@inail.it "/>
    <hyperlink ref="I271" r:id="rId182" display="f.galella@inail.it "/>
    <hyperlink ref="I273" r:id="rId183" display="g.smaldore@inail.it "/>
    <hyperlink ref="I270" r:id="rId184" display="g.ladaga@inail.it "/>
    <hyperlink ref="I266" r:id="rId185" display="gio.vaccaro@inail.it "/>
    <hyperlink ref="I272" r:id="rId186" display="i.mollone@inail.it "/>
    <hyperlink ref="I267" r:id="rId187" display="r.matteo@inail.it "/>
    <hyperlink ref="I269" r:id="rId188"/>
    <hyperlink ref="I32" r:id="rId189" display="a.colaprico@inail.it "/>
    <hyperlink ref="I42" r:id="rId190" display="a.turi@inail.it "/>
    <hyperlink ref="I41" r:id="rId191" display="a.desandre@inail.it "/>
    <hyperlink ref="I31" r:id="rId192" display="d.sallustio@inail.it "/>
    <hyperlink ref="I38" r:id="rId193" display="f.lobasso@inail.it "/>
    <hyperlink ref="I36" r:id="rId194" display="f.sciancalepore@inail.it "/>
    <hyperlink ref="I35" r:id="rId195" display="f.nigri@inail.it "/>
    <hyperlink ref="I43" r:id="rId196" display="gi.vitale@inail.it "/>
    <hyperlink ref="I33" r:id="rId197" display="g.degennaro@inail.it "/>
    <hyperlink ref="I44" r:id="rId198" display="g.paglione@inail.it "/>
    <hyperlink ref="I40" r:id="rId199" display="m.demusso@inail.it "/>
    <hyperlink ref="I39" r:id="rId200"/>
    <hyperlink ref="I37" r:id="rId201" display="n.altamura@inail.it "/>
    <hyperlink ref="I34" r:id="rId202" display="ra.lionetti@inail.it "/>
    <hyperlink ref="I355" r:id="rId203" display="f.dirocco@inail.it "/>
    <hyperlink ref="I354" r:id="rId204" display="f.grubissich@inail.it "/>
    <hyperlink ref="I259" r:id="rId205" display="c.digirolamo@inail.it "/>
    <hyperlink ref="I261" r:id="rId206" display="c.derobertis@inail.it "/>
    <hyperlink ref="I262" r:id="rId207" display="l.cavanna@inail.it "/>
    <hyperlink ref="I263" r:id="rId208" display="m.bardi@inail.it "/>
    <hyperlink ref="I265" r:id="rId209"/>
    <hyperlink ref="I264" r:id="rId210" display="s.cabassa@inail.it "/>
    <hyperlink ref="I103" r:id="rId211" display="a.cosentini@inail.it "/>
    <hyperlink ref="I102" r:id="rId212" display="f.badolato@inail.it "/>
    <hyperlink ref="I107" r:id="rId213" display="m.quattromani@inail.it "/>
    <hyperlink ref="I106" r:id="rId214" display="r.fabiano@inail.it "/>
    <hyperlink ref="I101" r:id="rId215" display="ro.longo@inail.it "/>
    <hyperlink ref="I277" r:id="rId216" display="a.lunghi@inail.it "/>
    <hyperlink ref="I279" r:id="rId217" display="a.cicaterri@inail.it "/>
    <hyperlink ref="I278" r:id="rId218" display="a.catarinozzi@inail.it "/>
    <hyperlink ref="I274" r:id="rId219" display="f.ditosto@inail.it "/>
    <hyperlink ref="I280" r:id="rId220" display="g.gorrino@inail.it "/>
    <hyperlink ref="I302" r:id="rId221" display="l.cecavicchi@inail.it "/>
    <hyperlink ref="I289" r:id="rId222" display="m.ezzet@inail.it "/>
    <hyperlink ref="I288" r:id="rId223" display="m.costantini@inail.it "/>
    <hyperlink ref="I286" r:id="rId224" display="m.iacomini@inail.it "/>
    <hyperlink ref="I275" r:id="rId225" display="s.baldassarini@inail.it "/>
    <hyperlink ref="I283" r:id="rId226" display="s.manna@inail.it "/>
    <hyperlink ref="I284" r:id="rId227" display="d.rinaldi@inail.it "/>
    <hyperlink ref="I276" r:id="rId228" display="ur.romano@inail.it "/>
    <hyperlink ref="I45" r:id="rId229" display="a.romanelli@inail.it "/>
    <hyperlink ref="I46" r:id="rId230" display="a.casillo@inail.it "/>
    <hyperlink ref="I48" r:id="rId231" display="d.mancuso@inail.it "/>
    <hyperlink ref="I47" r:id="rId232" display="g.ceglia@inail.it "/>
    <hyperlink ref="I49" r:id="rId233" display="r.pistelli@inail.it "/>
    <hyperlink ref="I125" r:id="rId234" display="c.vari@inail.it "/>
    <hyperlink ref="I124" r:id="rId235" display="d.tani@inail.it "/>
    <hyperlink ref="I123" r:id="rId236" display="f.palombo@inail.it "/>
    <hyperlink ref="I122" r:id="rId237" display="g.bagordo@inail.it "/>
    <hyperlink ref="I127" r:id="rId238" display="m.vanneschi@inail.it "/>
    <hyperlink ref="I126" r:id="rId239" display="p.lenzuni@inail.it "/>
    <hyperlink ref="I175" r:id="rId240" display="a.tortorici@inail.it "/>
    <hyperlink ref="I168" r:id="rId241" display="a.polimeni@inail.it "/>
    <hyperlink ref="I164" r:id="rId242" display="c.grazioli@inail.it "/>
    <hyperlink ref="I174" r:id="rId243" display="c.quattrone@inail.it "/>
    <hyperlink ref="I173" r:id="rId244" display="d.grillo@inail.it "/>
    <hyperlink ref="I162" r:id="rId245" display="f.giacobbe@inail.it "/>
    <hyperlink ref="I167" r:id="rId246" display="f.olivo@inail.it "/>
    <hyperlink ref="I171" r:id="rId247" display="g.tortorici@inail.it "/>
    <hyperlink ref="I166" r:id="rId248" display="m.falzea@inail.it "/>
    <hyperlink ref="I169" r:id="rId249" display="man.russo@inail.it "/>
    <hyperlink ref="I163" r:id="rId250" display="m.giuffrida@inail.it "/>
    <hyperlink ref="I165" r:id="rId251" display="m.platania@inail.it "/>
    <hyperlink ref="I170" r:id="rId252" display="p.sergi@inail.it "/>
    <hyperlink ref="I172" r:id="rId253" display="r.dirosa@inail.it "/>
    <hyperlink ref="I188" r:id="rId254" display="a.grimaldi@inail.it "/>
    <hyperlink ref="I195" r:id="rId255" display="an.cozzolino@inail.it "/>
    <hyperlink ref="I206" r:id="rId256"/>
    <hyperlink ref="I201" r:id="rId257" display="a.papa@inail.it "/>
    <hyperlink ref="I203" r:id="rId258" display="c.tanzillo@inail.it "/>
    <hyperlink ref="I202" r:id="rId259" display="d.sorrentino@inail.it "/>
    <hyperlink ref="I189" r:id="rId260" display="e.opromolla@inail.it "/>
    <hyperlink ref="I207" r:id="rId261" display="e.decandia@inail.it "/>
    <hyperlink ref="I208" r:id="rId262" display="f.diguida@inail.it "/>
    <hyperlink ref="I215" r:id="rId263" display="g.dicostanzo@inail.it "/>
    <hyperlink ref="I212" r:id="rId264" display="g.peronepacifico@inail.it "/>
    <hyperlink ref="I194" r:id="rId265" display="g.buccheri@inail.it "/>
    <hyperlink ref="I218" r:id="rId266" display="giu.dantonio@inail.it "/>
    <hyperlink ref="I198" r:id="rId267"/>
    <hyperlink ref="I196" r:id="rId268" display="m.faiella@inail.it "/>
    <hyperlink ref="I191" r:id="rId269"/>
    <hyperlink ref="I192" r:id="rId270" display="n.romagnuolo@inail.it "/>
    <hyperlink ref="I187" r:id="rId271" display="p.addonizio@inail.it "/>
    <hyperlink ref="I190" r:id="rId272" display="t.pagliuso@inail.it "/>
    <hyperlink ref="I193" r:id="rId273" display="v.vosa@inail.it "/>
    <hyperlink ref="I86" r:id="rId274" display="e.izzo@inail.it "/>
    <hyperlink ref="I84" r:id="rId275" display="a.morettini@inail.it "/>
    <hyperlink ref="I83" r:id="rId276" display="f.taurasi@inail.it "/>
    <hyperlink ref="I85" r:id="rId277" display="ma.scarano@inail.it "/>
    <hyperlink ref="J249" r:id="rId278" display="mailto:g.paiardini@inail.it"/>
    <hyperlink ref="J248" r:id="rId279" display="mailto:r.vasile@inail.it"/>
    <hyperlink ref="J256" r:id="rId280" display="mailto:a.lanciotti@inail.it"/>
    <hyperlink ref="J253" r:id="rId281" display="mailto:a.dalessandro@inail.it"/>
    <hyperlink ref="J252" r:id="rId282" display="mailto:b.volpe@inail.it"/>
    <hyperlink ref="J250" r:id="rId283" display="mailto:c.bizzi@inail.it"/>
    <hyperlink ref="J258" r:id="rId284" display="mailto:f.vitucci@inail.it"/>
    <hyperlink ref="J251" r:id="rId285" display="mailto:f.filograsso@inail.it"/>
    <hyperlink ref="J255" r:id="rId286" display="mailto:f.ioppolo@inail.it"/>
    <hyperlink ref="J247" r:id="rId287" display="mailto:g.diiorio@inail.it"/>
    <hyperlink ref="J257" r:id="rId288" display="mailto:r.tucceri@inail.it"/>
    <hyperlink ref="J254" r:id="rId289" display="mailto:v.dalessandro@inail.it"/>
    <hyperlink ref="J246" r:id="rId290" display="mailto:r.iovene@inail.it"/>
    <hyperlink ref="J135" r:id="rId291" display="a.carnaccini@inail.it"/>
    <hyperlink ref="J132" r:id="rId292" display="rg.russo@inail.it "/>
    <hyperlink ref="J133" r:id="rId293" display="a.carro@inail.it"/>
    <hyperlink ref="J75" r:id="rId294" display="c.lostiadisantasofia@inail.it"/>
    <hyperlink ref="J79" r:id="rId295" display="d.cannas@inail.it "/>
    <hyperlink ref="J82" r:id="rId296" display="g.loddo@inail.it"/>
    <hyperlink ref="J80" r:id="rId297" display="g.cappai@inail.it"/>
    <hyperlink ref="J74" r:id="rId298" display="l.carta@inail.it "/>
    <hyperlink ref="J77" r:id="rId299" display="m.maurino@inail.it "/>
    <hyperlink ref="J76" r:id="rId300" display="o.spanu@inail.it "/>
    <hyperlink ref="J78" r:id="rId301" display="p.maurino@inail.it "/>
    <hyperlink ref="J73" r:id="rId302" display="r.balistreri@inail.it "/>
    <hyperlink ref="J81" r:id="rId303" display="r.giua@inail.it "/>
    <hyperlink ref="J330" r:id="rId304" display="a.scanu@inail.it  "/>
    <hyperlink ref="J324" r:id="rId305" display="an.ianno@inail.it "/>
    <hyperlink ref="J327" r:id="rId306" display="f.biondini@inail.it "/>
    <hyperlink ref="J331" r:id="rId307" display="l.ciocchetti@inail.it"/>
    <hyperlink ref="J322" r:id="rId308" display="m.palazzi@inail.it"/>
    <hyperlink ref="J321" r:id="rId309" display="m.tini@inail.it "/>
    <hyperlink ref="J323" r:id="rId310" display="p.tattoli@inail.it "/>
    <hyperlink ref="J325" r:id="rId311" display="p.nannini@inail.it "/>
    <hyperlink ref="J328" r:id="rId312" display="s.modestino@inail.it"/>
    <hyperlink ref="J326" r:id="rId313" display="s.benedetti@inail.it"/>
    <hyperlink ref="J8" r:id="rId314" display="d.carbonari@inail.it "/>
    <hyperlink ref="J7" r:id="rId315" display="d.cionchi@inail.it "/>
    <hyperlink ref="J9" r:id="rId316" display="f.piracci@inail.it "/>
    <hyperlink ref="J11" r:id="rId317" display="f.digrazia@inail.it"/>
    <hyperlink ref="J10" r:id="rId318" display="r.giraldi@inail.it "/>
    <hyperlink ref="J221" r:id="rId319" display="a.salmaso@inail.it "/>
    <hyperlink ref="J223" r:id="rId320" display="c.donati@inail.it"/>
    <hyperlink ref="J222" r:id="rId321" display="d.sanzi@inail.it "/>
    <hyperlink ref="J220" r:id="rId322" display="f.panin@inail.it "/>
    <hyperlink ref="J224" r:id="rId323" display="s.ballotta@inail.it "/>
    <hyperlink ref="J311" r:id="rId324" display="a.sibilano@inail.it "/>
    <hyperlink ref="J317" r:id="rId325" display="an.pellegrini@inail.it "/>
    <hyperlink ref="J319" r:id="rId326" display="a.mele@inail.it "/>
    <hyperlink ref="J314" r:id="rId327" display="b.gori@inail.it"/>
    <hyperlink ref="J312" r:id="rId328" display="d.manca@inail.it "/>
    <hyperlink ref="J313" r:id="rId329" display="e.diponzio@inail.it "/>
    <hyperlink ref="J320" r:id="rId330" display="f.perri@inail.it "/>
    <hyperlink ref="J315" r:id="rId331" display="g.cellamare@inail.it"/>
    <hyperlink ref="J316" r:id="rId332" display="t.grassi@inail.it"/>
    <hyperlink ref="J310" r:id="rId333" display="v.galasso@inail.it "/>
    <hyperlink ref="J3" r:id="rId334" display="a.urso@inail.it "/>
    <hyperlink ref="J4" r:id="rId335" display="g.conta@inail.it "/>
    <hyperlink ref="J1" r:id="rId336" display="l.masero@inail.it "/>
    <hyperlink ref="J6" r:id="rId337" display="o.forlini@inail.it "/>
    <hyperlink ref="J5" r:id="rId338" display="s.dente@inail.it "/>
    <hyperlink ref="J2" r:id="rId339" display="v.prete@inail.it "/>
    <hyperlink ref="J68" r:id="rId340" display="f.rossetti@inail.it "/>
    <hyperlink ref="J72" r:id="rId341" display="m.loda@inail.it "/>
    <hyperlink ref="J69" r:id="rId342" display="n.palumbo@inail.it "/>
    <hyperlink ref="J70" r:id="rId343" display="na.rizzo@inail.it "/>
    <hyperlink ref="J71" r:id="rId344" display="t.scalici@inail.it "/>
    <hyperlink ref="J178" r:id="rId345" display="a.colautto@inail.it "/>
    <hyperlink ref="J183" r:id="rId346" display="c.nastasi@inail.it "/>
    <hyperlink ref="J186" r:id="rId347" display="e.zaccagnini@inail.it "/>
    <hyperlink ref="J182" r:id="rId348" display="g.olivo@inail.it "/>
    <hyperlink ref="J180" r:id="rId349" display="i.mazzarelli@inail.it "/>
    <hyperlink ref="J179" r:id="rId350" display="l.gallerano@inail.it "/>
    <hyperlink ref="J184" r:id="rId351" display="m.sambusida@inail.it"/>
    <hyperlink ref="J176" r:id="rId352" display="m.demattia@inail.it "/>
    <hyperlink ref="J181" r:id="rId353" display="p.lipari@inail.it "/>
    <hyperlink ref="J185" r:id="rId354" display="s.valletta@inail.it "/>
    <hyperlink ref="J260" r:id="rId355" display="a.cagnoni@inail.it "/>
    <hyperlink ref="J177" r:id="rId356" display="a.andolina@inail.it "/>
    <hyperlink ref="J341" r:id="rId357" display="g.gurnari@inail.it"/>
    <hyperlink ref="J340" r:id="rId358" display="l.lorusso@inail.it "/>
    <hyperlink ref="J342" r:id="rId359" display="d.greatti@inail.it "/>
    <hyperlink ref="J339" r:id="rId360" display="m.larice@inail.it "/>
    <hyperlink ref="J343" r:id="rId361" display="s.corazza@inail.it"/>
    <hyperlink ref="J148" r:id="rId362" display="a.boninti@inail.it"/>
    <hyperlink ref="J144" r:id="rId363" display="an.guerra@inail.it "/>
    <hyperlink ref="J145" r:id="rId364" display="a.margutti@inail.it "/>
    <hyperlink ref="J153" r:id="rId365" display="c.sclano@inail.it "/>
    <hyperlink ref="J150" r:id="rId366" display="e.mazzetti@inail.it "/>
    <hyperlink ref="J151" r:id="rId367" display="e.beccati@inail.it "/>
    <hyperlink ref="J146" r:id="rId368" display="l.minerva@inail.it "/>
    <hyperlink ref="J147" r:id="rId369" display="l.bruzzo@inail.it"/>
    <hyperlink ref="J152" r:id="rId370" display="p.marchi@inail.it"/>
    <hyperlink ref="J149" r:id="rId371" display="r.cigliano@inail.it "/>
    <hyperlink ref="J61" r:id="rId372" display="b.conestabiledellastaffa@inail.it "/>
    <hyperlink ref="J63" r:id="rId373" display="d.tropiano@inail.it "/>
    <hyperlink ref="J62" r:id="rId374" display="fa.zichichi@inail.it "/>
    <hyperlink ref="J66" r:id="rId375" display="f.scala@inail.it "/>
    <hyperlink ref="J57" r:id="rId376" display="g.zuccarello@inail.it"/>
    <hyperlink ref="J58" r:id="rId377" display="l.cavicchi@inail.it"/>
    <hyperlink ref="J60" r:id="rId378" display="p.pantalone@inail.it "/>
    <hyperlink ref="J59" r:id="rId379" display="r.denicola@inail.it "/>
    <hyperlink ref="J305" r:id="rId380" display="a.accascina@inail.it "/>
    <hyperlink ref="J306" r:id="rId381" display="a.bebbere@inail.it "/>
    <hyperlink ref="J307" r:id="rId382" display="f.saba@inail.it "/>
    <hyperlink ref="J308" r:id="rId383" display="m.foddai@inail.it"/>
    <hyperlink ref="J304" r:id="rId384" display="s.zurrida@inail.it"/>
    <hyperlink ref="J13" r:id="rId385" display="c.piccolo@inail.it "/>
    <hyperlink ref="J15" r:id="rId386" display="c.detoro@inail.it "/>
    <hyperlink ref="J21" r:id="rId387" display="e.spagnuolo@inail.it "/>
    <hyperlink ref="J22" r:id="rId388" display="fr.viola@inail.it"/>
    <hyperlink ref="J14" r:id="rId389" display="g.battista@inail.it "/>
    <hyperlink ref="J17" r:id="rId390" display="mp.gatto@inail.it"/>
    <hyperlink ref="J18" r:id="rId391" display="o.didonato@inail.it "/>
    <hyperlink ref="J19" r:id="rId392" display="r.modestino@inail.it "/>
    <hyperlink ref="J98" r:id="rId393" display="an.garofalo@inail.it"/>
    <hyperlink ref="J89" r:id="rId394" display="c.percolla@inail.it "/>
    <hyperlink ref="J96" r:id="rId395" display="d.scalia@inail.it "/>
    <hyperlink ref="J88" r:id="rId396" display="d.barresi@inail.it "/>
    <hyperlink ref="J91" r:id="rId397" display="d.tuttolomondo@inail.it "/>
    <hyperlink ref="J99" r:id="rId398" display="m.arfo@inail.it "/>
    <hyperlink ref="J93" r:id="rId399" display="o.isaia@inail.it "/>
    <hyperlink ref="J94" r:id="rId400" display="n.lepiscopo@inail.it "/>
    <hyperlink ref="J95" r:id="rId401" display="r.randazzo@inail.it "/>
    <hyperlink ref="J92" r:id="rId402" display="s.denaro@inail.it"/>
    <hyperlink ref="J100" r:id="rId403" display="s.figura@inail.it"/>
    <hyperlink ref="J87" r:id="rId404" display="s.festa@inail.it "/>
    <hyperlink ref="J90" r:id="rId405" display="v.polizzotto@inail.it "/>
    <hyperlink ref="J114" r:id="rId406" display="a.muratore@inail.it "/>
    <hyperlink ref="J113" r:id="rId407" display="g.giannelli@inail.it"/>
    <hyperlink ref="J115" r:id="rId408" display="m.marziliano@inail.it "/>
    <hyperlink ref="J116" r:id="rId409" display="n.giannoccaro@inail.it "/>
    <hyperlink ref="J245" r:id="rId410" display="g.grillone@inail.it "/>
    <hyperlink ref="J140" r:id="rId411" display="l.fascioli@inail.it "/>
    <hyperlink ref="J139" r:id="rId412" display="r.ciancio@inail.it "/>
    <hyperlink ref="J155" r:id="rId413" display="a.dalmonte@inail.it "/>
    <hyperlink ref="J159" r:id="rId414" display="e.lomele@inail.it "/>
    <hyperlink ref="J154" r:id="rId415" display="e.franchi@inail.it "/>
    <hyperlink ref="J157" r:id="rId416" display="g.barsocchi@inail.it"/>
    <hyperlink ref="J158" r:id="rId417" display="j.bianchi@inail.it"/>
    <hyperlink ref="J161" r:id="rId418" display="l.saias@inail.it"/>
    <hyperlink ref="J160" r:id="rId419" display="ma.cherubini@inail.it"/>
    <hyperlink ref="J156" r:id="rId420" display="n.bravi@inail.it "/>
    <hyperlink ref="J237" r:id="rId421" display="a.tammuzza@inail.it"/>
    <hyperlink ref="J230" r:id="rId422" display="d.difonzo@inail.it "/>
    <hyperlink ref="J226" r:id="rId423" display="f.amaro@inail.it"/>
    <hyperlink ref="J239" r:id="rId424" display="f.filippone@inail.it"/>
    <hyperlink ref="J236" r:id="rId425" display="f.sofia@inail.it "/>
    <hyperlink ref="J232" r:id="rId426" display="g.sunseri@inail.it "/>
    <hyperlink ref="J234" r:id="rId427" display="gi.vaccaro@inail.it "/>
    <hyperlink ref="J228" r:id="rId428" display="gi.argento@inail.it "/>
    <hyperlink ref="J240" r:id="rId429" display="m.oliveri@inail.it"/>
    <hyperlink ref="J229" r:id="rId430" display="m.bellissimo@inail.it "/>
    <hyperlink ref="J227" r:id="rId431" display="p.amodeo@inail.it "/>
    <hyperlink ref="J233" r:id="rId432" display="r.sunseri@inail.it "/>
    <hyperlink ref="J242" r:id="rId433" display="s.chiarelli@inail.it"/>
    <hyperlink ref="J231" r:id="rId434" display="v.nastasi@inail.it "/>
    <hyperlink ref="J345" r:id="rId435" display="a.depalma@inail.it "/>
    <hyperlink ref="J349" r:id="rId436" display="f.rocchi@inail.it "/>
    <hyperlink ref="J344" r:id="rId437" display="f.boella@inail.it "/>
    <hyperlink ref="J351" r:id="rId438" display="g.colace@inail.it"/>
    <hyperlink ref="J346" r:id="rId439" display="m.piovesan@inail.it "/>
    <hyperlink ref="J347" r:id="rId440" display="r.acerboni@inail.it "/>
    <hyperlink ref="J348" r:id="rId441" display="s.penzo@inail.it "/>
    <hyperlink ref="J56" r:id="rId442" display="c.giurintano@inail.it"/>
    <hyperlink ref="J54" r:id="rId443" display="p.lunardelli@inail.it "/>
    <hyperlink ref="J53" r:id="rId444" display="s.vacquer@inail.it "/>
    <hyperlink ref="J336" r:id="rId445" display="a.micciola@inail.it "/>
    <hyperlink ref="J333" r:id="rId446" display="f.moncini@inail.it "/>
    <hyperlink ref="J335" r:id="rId447" display="mar.tedesco@inail.it "/>
    <hyperlink ref="J332" r:id="rId448" display="p.infortuna@inail.it "/>
    <hyperlink ref="J337" r:id="rId449" display="r.senatore@inail.it "/>
    <hyperlink ref="J338" r:id="rId450" display="r.piccin@inail.it "/>
    <hyperlink ref="J334" r:id="rId451" display="s.spinoso@inail.it "/>
    <hyperlink ref="J268" r:id="rId452" display="b.defina@inail.it "/>
    <hyperlink ref="J271" r:id="rId453" display="f.galella@inail.it "/>
    <hyperlink ref="J273" r:id="rId454" display="g.smaldore@inail.it "/>
    <hyperlink ref="J270" r:id="rId455" display="g.ladaga@inail.it "/>
    <hyperlink ref="J266" r:id="rId456" display="gio.vaccaro@inail.it "/>
    <hyperlink ref="J272" r:id="rId457" display="i.mollone@inail.it "/>
    <hyperlink ref="J267" r:id="rId458" display="r.matteo@inail.it "/>
    <hyperlink ref="J269" r:id="rId459" display="v.goglia@inail.it"/>
    <hyperlink ref="J32" r:id="rId460" display="a.colaprico@inail.it "/>
    <hyperlink ref="J42" r:id="rId461" display="a.turi@inail.it "/>
    <hyperlink ref="J41" r:id="rId462" display="a.desandre@inail.it "/>
    <hyperlink ref="J31" r:id="rId463" display="d.sallustio@inail.it "/>
    <hyperlink ref="J38" r:id="rId464" display="f.lobasso@inail.it "/>
    <hyperlink ref="J36" r:id="rId465" display="f.sciancalepore@inail.it "/>
    <hyperlink ref="J35" r:id="rId466" display="f.nigri@inail.it "/>
    <hyperlink ref="J43" r:id="rId467" display="gi.vitale@inail.it "/>
    <hyperlink ref="J33" r:id="rId468" display="g.degennaro@inail.it "/>
    <hyperlink ref="J44" r:id="rId469" display="g.paglione@inail.it "/>
    <hyperlink ref="J40" r:id="rId470" display="m.demusso@inail.it "/>
    <hyperlink ref="J39" r:id="rId471" display="m.armenise@inail.it"/>
    <hyperlink ref="J37" r:id="rId472" display="n.altamura@inail.it "/>
    <hyperlink ref="J34" r:id="rId473" display="ra.lionetti@inail.it "/>
    <hyperlink ref="J355" r:id="rId474" display="f.dirocco@inail.it "/>
    <hyperlink ref="J354" r:id="rId475" display="f.grubissich@inail.it "/>
    <hyperlink ref="J259" r:id="rId476" display="c.digirolamo@inail.it "/>
    <hyperlink ref="J261" r:id="rId477" display="c.derobertis@inail.it "/>
    <hyperlink ref="J262" r:id="rId478" display="l.cavanna@inail.it "/>
    <hyperlink ref="J263" r:id="rId479" display="m.bardi@inail.it "/>
    <hyperlink ref="J265" r:id="rId480" display="r.milone@inail.it"/>
    <hyperlink ref="J264" r:id="rId481" display="s.cabassa@inail.it "/>
    <hyperlink ref="J103" r:id="rId482" display="a.cosentini@inail.it "/>
    <hyperlink ref="J102" r:id="rId483" display="f.badolato@inail.it "/>
    <hyperlink ref="J107" r:id="rId484" display="m.quattromani@inail.it "/>
    <hyperlink ref="J106" r:id="rId485" display="r.fabiano@inail.it "/>
    <hyperlink ref="J101" r:id="rId486" display="ro.longo@inail.it "/>
    <hyperlink ref="J277" r:id="rId487" display="a.lunghi@inail.it "/>
    <hyperlink ref="J279" r:id="rId488" display="a.cicaterri@inail.it "/>
    <hyperlink ref="J278" r:id="rId489" display="a.catarinozzi@inail.it "/>
    <hyperlink ref="J274" r:id="rId490" display="f.ditosto@inail.it "/>
    <hyperlink ref="J280" r:id="rId491" display="g.gorrino@inail.it "/>
    <hyperlink ref="J302" r:id="rId492" display="l.cecavicchi@inail.it "/>
    <hyperlink ref="J289" r:id="rId493" display="m.ezzet@inail.it "/>
    <hyperlink ref="J288" r:id="rId494" display="m.costantini@inail.it "/>
    <hyperlink ref="J286" r:id="rId495" display="m.iacomini@inail.it "/>
    <hyperlink ref="J275" r:id="rId496" display="s.baldassarini@inail.it "/>
    <hyperlink ref="J283" r:id="rId497" display="s.manna@inail.it "/>
    <hyperlink ref="J284" r:id="rId498" display="d.rinaldi@inail.it "/>
    <hyperlink ref="J276" r:id="rId499" display="ur.romano@inail.it "/>
    <hyperlink ref="J45" r:id="rId500" display="a.romanelli@inail.it "/>
    <hyperlink ref="J46" r:id="rId501" display="a.casillo@inail.it "/>
    <hyperlink ref="J48" r:id="rId502" display="d.mancuso@inail.it "/>
    <hyperlink ref="J47" r:id="rId503" display="g.ceglia@inail.it "/>
    <hyperlink ref="J49" r:id="rId504" display="r.pistelli@inail.it "/>
    <hyperlink ref="J125" r:id="rId505" display="c.vari@inail.it "/>
    <hyperlink ref="J124" r:id="rId506" display="d.tani@inail.it "/>
    <hyperlink ref="J123" r:id="rId507" display="f.palombo@inail.it "/>
    <hyperlink ref="J122" r:id="rId508" display="g.bagordo@inail.it "/>
    <hyperlink ref="J127" r:id="rId509" display="m.vanneschi@inail.it "/>
    <hyperlink ref="J126" r:id="rId510" display="p.lenzuni@inail.it "/>
    <hyperlink ref="J175" r:id="rId511" display="a.tortorici@inail.it "/>
    <hyperlink ref="J168" r:id="rId512" display="a.polimeni@inail.it "/>
    <hyperlink ref="J164" r:id="rId513" display="c.grazioli@inail.it "/>
    <hyperlink ref="J174" r:id="rId514" display="c.quattrone@inail.it "/>
    <hyperlink ref="J173" r:id="rId515" display="d.grillo@inail.it "/>
    <hyperlink ref="J162" r:id="rId516" display="f.giacobbe@inail.it "/>
    <hyperlink ref="J167" r:id="rId517" display="f.olivo@inail.it "/>
    <hyperlink ref="J171" r:id="rId518" display="g.tortorici@inail.it "/>
    <hyperlink ref="J166" r:id="rId519" display="m.falzea@inail.it "/>
    <hyperlink ref="J169" r:id="rId520" display="man.russo@inail.it "/>
    <hyperlink ref="J163" r:id="rId521" display="m.giuffrida@inail.it "/>
    <hyperlink ref="J165" r:id="rId522" display="m.platania@inail.it "/>
    <hyperlink ref="J170" r:id="rId523" display="p.sergi@inail.it "/>
    <hyperlink ref="J172" r:id="rId524" display="r.dirosa@inail.it "/>
    <hyperlink ref="J188" r:id="rId525" display="a.grimaldi@inail.it "/>
    <hyperlink ref="J195" r:id="rId526" display="an.cozzolino@inail.it "/>
    <hyperlink ref="J206" r:id="rId527" display="a.santagata@inail.it"/>
    <hyperlink ref="J201" r:id="rId528" display="a.papa@inail.it "/>
    <hyperlink ref="J203" r:id="rId529" display="c.tanzillo@inail.it "/>
    <hyperlink ref="J202" r:id="rId530" display="d.sorrentino@inail.it "/>
    <hyperlink ref="J189" r:id="rId531" display="e.opromolla@inail.it "/>
    <hyperlink ref="J207" r:id="rId532" display="e.decandia@inail.it "/>
    <hyperlink ref="J208" r:id="rId533" display="f.diguida@inail.it "/>
    <hyperlink ref="J215" r:id="rId534" display="g.dicostanzo@inail.it "/>
    <hyperlink ref="J212" r:id="rId535" display="g.peronepacifico@inail.it "/>
    <hyperlink ref="J194" r:id="rId536" display="g.buccheri@inail.it "/>
    <hyperlink ref="J218" r:id="rId537" display="giu.dantonio@inail.it "/>
    <hyperlink ref="J198" r:id="rId538" display="m.dovetto@inail.it"/>
    <hyperlink ref="J196" r:id="rId539" display="m.faiella@inail.it "/>
    <hyperlink ref="J191" r:id="rId540" display="n.pedicini@inail.it"/>
    <hyperlink ref="J192" r:id="rId541" display="n.romagnuolo@inail.it "/>
    <hyperlink ref="J187" r:id="rId542" display="p.addonizio@inail.it "/>
    <hyperlink ref="J190" r:id="rId543" display="t.pagliuso@inail.it "/>
    <hyperlink ref="J193" r:id="rId544" display="v.vosa@inail.it "/>
    <hyperlink ref="J86" r:id="rId545" display="e.izzo@inail.it "/>
    <hyperlink ref="J84" r:id="rId546" display="a.morettini@inail.it "/>
    <hyperlink ref="J83" r:id="rId547" display="f.taurasi@inail.it "/>
    <hyperlink ref="J85" r:id="rId548" display="ma.scarano@inail.it "/>
    <hyperlink ref="J12" r:id="rId549" display="p.infortuna@inail.it "/>
  </hyperlinks>
  <pageMargins left="0.7" right="0.7" top="0.75" bottom="0.75" header="0.3" footer="0.3"/>
  <pageSetup paperSize="9" orientation="portrait" r:id="rId550"/>
  <headerFooter>
    <oddFooter>&amp;C&amp;1#&amp;"Verdana"&amp;8&amp;K000000Dati interni - Dati non personali</oddFooter>
  </headerFooter>
  <ignoredErrors>
    <ignoredError sqref="A2:XFD1048576 B1:XF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INAIL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Gioia Cataldo</dc:creator>
  <cp:lastModifiedBy>La Gioia Cataldo</cp:lastModifiedBy>
  <dcterms:created xsi:type="dcterms:W3CDTF">2024-06-09T12:57:04Z</dcterms:created>
  <dcterms:modified xsi:type="dcterms:W3CDTF">2024-06-11T10:46:27Z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e5f6a8-fa14-4576-8095-662e3fcf6615_Enabled">
    <vt:lpwstr>true</vt:lpwstr>
  </property>
  <property fmtid="{D5CDD505-2E9C-101B-9397-08002B2CF9AE}" pid="3" name="MSIP_Label_41e5f6a8-fa14-4576-8095-662e3fcf6615_SetDate">
    <vt:lpwstr>2024-06-11T10:46:27Z</vt:lpwstr>
  </property>
  <property fmtid="{D5CDD505-2E9C-101B-9397-08002B2CF9AE}" pid="4" name="MSIP_Label_41e5f6a8-fa14-4576-8095-662e3fcf6615_Method">
    <vt:lpwstr>Standard</vt:lpwstr>
  </property>
  <property fmtid="{D5CDD505-2E9C-101B-9397-08002B2CF9AE}" pid="5" name="MSIP_Label_41e5f6a8-fa14-4576-8095-662e3fcf6615_Name">
    <vt:lpwstr>41e5f6a8-fa14-4576-8095-662e3fcf6615</vt:lpwstr>
  </property>
  <property fmtid="{D5CDD505-2E9C-101B-9397-08002B2CF9AE}" pid="6" name="MSIP_Label_41e5f6a8-fa14-4576-8095-662e3fcf6615_SiteId">
    <vt:lpwstr>418322d3-5401-446f-9996-9e2e03ee3a5e</vt:lpwstr>
  </property>
  <property fmtid="{D5CDD505-2E9C-101B-9397-08002B2CF9AE}" pid="7" name="MSIP_Label_41e5f6a8-fa14-4576-8095-662e3fcf6615_ActionId">
    <vt:lpwstr>6329c4e9-2213-4e4d-9449-a98850705b5d</vt:lpwstr>
  </property>
  <property fmtid="{D5CDD505-2E9C-101B-9397-08002B2CF9AE}" pid="8" name="MSIP_Label_41e5f6a8-fa14-4576-8095-662e3fcf6615_ContentBits">
    <vt:lpwstr>3</vt:lpwstr>
  </property>
</Properties>
</file>